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varodiaz/Documents/Efaa/LV/"/>
    </mc:Choice>
  </mc:AlternateContent>
  <xr:revisionPtr revIDLastSave="0" documentId="13_ncr:1_{608E35B8-B2EB-E54B-BE3A-59574ABD66C3}" xr6:coauthVersionLast="47" xr6:coauthVersionMax="47" xr10:uidLastSave="{00000000-0000-0000-0000-000000000000}"/>
  <bookViews>
    <workbookView xWindow="0" yWindow="500" windowWidth="33600" windowHeight="19860" xr2:uid="{00000000-000D-0000-FFFF-FFFF00000000}"/>
  </bookViews>
  <sheets>
    <sheet name="valorizacion" sheetId="1" r:id="rId1"/>
    <sheet name="curva" sheetId="2" r:id="rId2"/>
  </sheets>
  <functionGroups builtInGroupCount="19"/>
  <definedNames>
    <definedName name="curva.plazos">curva!$A$2:$A$34</definedName>
    <definedName name="curva.tasas">curva!$B$2:$B$34</definedName>
  </definedNames>
  <calcPr calcId="191029" iterate="1" iterateDelta="1E-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9" i="1" l="1"/>
  <c r="B40" i="1"/>
  <c r="C40" i="1"/>
  <c r="D40" i="1"/>
  <c r="B41" i="1"/>
  <c r="C41" i="1"/>
  <c r="D41" i="1"/>
  <c r="B42" i="1"/>
  <c r="C42" i="1"/>
  <c r="D42" i="1"/>
  <c r="B43" i="1"/>
  <c r="C43" i="1"/>
  <c r="D43" i="1"/>
  <c r="C39" i="1"/>
  <c r="D39" i="1"/>
  <c r="B39" i="1"/>
  <c r="B16" i="1"/>
  <c r="B17" i="1"/>
  <c r="B18" i="1"/>
  <c r="B19" i="1"/>
  <c r="B15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2" i="2"/>
  <c r="P39" i="1" a="1"/>
  <c r="P40" i="1" a="1"/>
  <c r="P41" i="1" a="1"/>
  <c r="P42" i="1" a="1"/>
  <c r="P43" i="1" a="1"/>
  <c r="E40" i="1" a="1"/>
  <c r="G42" i="1" a="1"/>
  <c r="F40" i="1" a="1"/>
  <c r="E43" i="1" a="1"/>
  <c r="F41" i="1" a="1"/>
  <c r="G40" i="1" a="1"/>
  <c r="F43" i="1" a="1"/>
  <c r="E42" i="1" a="1"/>
  <c r="E41" i="1" a="1"/>
  <c r="G41" i="1" a="1"/>
  <c r="G43" i="1" a="1"/>
  <c r="F42" i="1" a="1"/>
  <c r="F39" i="1" a="1"/>
  <c r="G39" i="1" a="1"/>
  <c r="E39" i="1" a="1"/>
  <c r="C17" i="1" a="1"/>
  <c r="C18" i="1" a="1"/>
  <c r="C19" i="1" a="1"/>
  <c r="C16" i="1" a="1"/>
  <c r="C15" i="1" a="1"/>
  <c r="P39" i="1" l="1"/>
  <c r="Q39" i="1" s="1"/>
  <c r="P43" i="1"/>
  <c r="Q43" i="1" s="1"/>
  <c r="P42" i="1"/>
  <c r="Q42" i="1" s="1"/>
  <c r="P41" i="1"/>
  <c r="Q41" i="1" s="1"/>
  <c r="P40" i="1"/>
  <c r="Q40" i="1" s="1"/>
  <c r="F42" i="1"/>
  <c r="I42" i="1" s="1"/>
  <c r="G43" i="1"/>
  <c r="J43" i="1" s="1"/>
  <c r="G41" i="1"/>
  <c r="J41" i="1" s="1"/>
  <c r="E41" i="1"/>
  <c r="H41" i="1" s="1"/>
  <c r="E42" i="1"/>
  <c r="H42" i="1" s="1"/>
  <c r="F43" i="1"/>
  <c r="I43" i="1" s="1"/>
  <c r="G40" i="1"/>
  <c r="J40" i="1" s="1"/>
  <c r="F41" i="1"/>
  <c r="I41" i="1" s="1"/>
  <c r="E43" i="1"/>
  <c r="H43" i="1" s="1"/>
  <c r="F40" i="1"/>
  <c r="I40" i="1" s="1"/>
  <c r="G42" i="1"/>
  <c r="J42" i="1" s="1"/>
  <c r="E40" i="1"/>
  <c r="H40" i="1" s="1"/>
  <c r="G39" i="1"/>
  <c r="J39" i="1" s="1"/>
  <c r="F39" i="1"/>
  <c r="I39" i="1" s="1"/>
  <c r="E39" i="1"/>
  <c r="H39" i="1" s="1"/>
  <c r="C16" i="1"/>
  <c r="D16" i="1" s="1"/>
  <c r="C19" i="1"/>
  <c r="D19" i="1" s="1"/>
  <c r="C18" i="1"/>
  <c r="D18" i="1" s="1"/>
  <c r="C17" i="1"/>
  <c r="D17" i="1" s="1"/>
  <c r="C15" i="1"/>
  <c r="D15" i="1" s="1"/>
  <c r="L39" i="1" l="1"/>
  <c r="M39" i="1" s="1"/>
  <c r="N39" i="1" s="1"/>
  <c r="O39" i="1" s="1"/>
  <c r="C21" i="1"/>
  <c r="K40" i="1" l="1"/>
  <c r="L40" i="1" s="1"/>
  <c r="M40" i="1" l="1"/>
  <c r="N40" i="1" s="1"/>
  <c r="O40" i="1" s="1"/>
  <c r="K41" i="1"/>
  <c r="L41" i="1" s="1"/>
  <c r="M41" i="1" s="1"/>
  <c r="K42" i="1" l="1"/>
  <c r="L42" i="1" s="1"/>
  <c r="M42" i="1" s="1"/>
  <c r="N41" i="1"/>
  <c r="O41" i="1" s="1"/>
  <c r="K43" i="1" l="1"/>
  <c r="L43" i="1" s="1"/>
  <c r="N42" i="1"/>
  <c r="O42" i="1" s="1"/>
  <c r="M43" i="1" l="1"/>
  <c r="N43" i="1" s="1"/>
  <c r="O43" i="1" s="1"/>
  <c r="C4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<sst xmlns="http://schemas.openxmlformats.org/spreadsheetml/2006/main" count="108" uniqueCount="50">
  <si>
    <t>fecha_inicial</t>
  </si>
  <si>
    <t>fecha_final</t>
  </si>
  <si>
    <t>fecha_pago</t>
  </si>
  <si>
    <t>nominal</t>
  </si>
  <si>
    <t>amortizacion</t>
  </si>
  <si>
    <t>interes</t>
  </si>
  <si>
    <t>amort_es_flujo</t>
  </si>
  <si>
    <t>flujo</t>
  </si>
  <si>
    <t>moneda</t>
  </si>
  <si>
    <t>valor_tasa</t>
  </si>
  <si>
    <t>tipo_tasa</t>
  </si>
  <si>
    <t>2020-10-14</t>
  </si>
  <si>
    <t>2021-10-14</t>
  </si>
  <si>
    <t>USD</t>
  </si>
  <si>
    <t>LinAct360</t>
  </si>
  <si>
    <t>2022-10-14</t>
  </si>
  <si>
    <t>2023-10-16</t>
  </si>
  <si>
    <t>2024-10-15</t>
  </si>
  <si>
    <t>2025-10-14</t>
  </si>
  <si>
    <t>plazo</t>
  </si>
  <si>
    <t>tasa</t>
  </si>
  <si>
    <t>df</t>
  </si>
  <si>
    <t>check_df</t>
  </si>
  <si>
    <t>Tasas en convención Exp Act/365</t>
  </si>
  <si>
    <t>Fecha Valor</t>
  </si>
  <si>
    <t>plazo a pago</t>
  </si>
  <si>
    <t>tasa descuento</t>
  </si>
  <si>
    <t>Valor presente</t>
  </si>
  <si>
    <t>icp_inicial</t>
  </si>
  <si>
    <t>icp_final</t>
  </si>
  <si>
    <t>spread</t>
  </si>
  <si>
    <t>gearing</t>
  </si>
  <si>
    <t>CLP</t>
  </si>
  <si>
    <t>Pata Fija</t>
  </si>
  <si>
    <t>Pata Flotante</t>
  </si>
  <si>
    <t>plazo ini</t>
  </si>
  <si>
    <t>plazo fin</t>
  </si>
  <si>
    <t>plazo pago</t>
  </si>
  <si>
    <t>tasa ini</t>
  </si>
  <si>
    <t>tasa fin</t>
  </si>
  <si>
    <t>tasa pago</t>
  </si>
  <si>
    <t>df pago</t>
  </si>
  <si>
    <t>wf ini</t>
  </si>
  <si>
    <t>wf fin</t>
  </si>
  <si>
    <t>icp inicial</t>
  </si>
  <si>
    <t>icp hoy</t>
  </si>
  <si>
    <t>icp ini</t>
  </si>
  <si>
    <t>icp fin</t>
  </si>
  <si>
    <t>valor tasa</t>
  </si>
  <si>
    <t>se_redondea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</si>
</sst>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%"/>
    <numFmt numFmtId="165" formatCode="yyyy/mm/dd;@"/>
    <numFmt numFmtId="166" formatCode="#,##0.0000"/>
    <numFmt numFmtId="167" formatCode="0.0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Helvetica"/>
      <family val="2"/>
    </font>
    <font>
      <b/>
      <sz val="11"/>
      <color theme="0"/>
      <name val="Helvetica"/>
      <family val="2"/>
    </font>
    <font>
      <sz val="11"/>
      <color theme="1"/>
      <name val="Helvetica"/>
      <family val="2"/>
    </font>
    <font>
      <b/>
      <sz val="11"/>
      <color theme="1"/>
      <name val="Helvetica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1" xfId="0" applyFont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top"/>
    </xf>
    <xf numFmtId="0" fontId="4" fillId="0" borderId="0" xfId="0" applyFont="1"/>
    <xf numFmtId="0" fontId="4" fillId="0" borderId="0" xfId="0" applyFont="1" applyAlignment="1">
      <alignment horizontal="center"/>
    </xf>
    <xf numFmtId="164" fontId="4" fillId="0" borderId="0" xfId="1" applyNumberFormat="1" applyFont="1" applyAlignment="1">
      <alignment horizontal="center"/>
    </xf>
    <xf numFmtId="4" fontId="4" fillId="0" borderId="0" xfId="0" applyNumberFormat="1" applyFont="1" applyAlignment="1">
      <alignment horizontal="center"/>
    </xf>
    <xf numFmtId="9" fontId="4" fillId="0" borderId="0" xfId="1" applyFont="1" applyAlignment="1">
      <alignment horizontal="center"/>
    </xf>
    <xf numFmtId="4" fontId="2" fillId="0" borderId="1" xfId="0" applyNumberFormat="1" applyFont="1" applyBorder="1" applyAlignment="1">
      <alignment horizontal="center" vertical="top"/>
    </xf>
    <xf numFmtId="9" fontId="2" fillId="0" borderId="1" xfId="1" applyFont="1" applyBorder="1" applyAlignment="1">
      <alignment horizontal="center" vertical="top"/>
    </xf>
    <xf numFmtId="10" fontId="4" fillId="0" borderId="0" xfId="1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164" fontId="4" fillId="0" borderId="0" xfId="1" applyNumberFormat="1" applyFont="1"/>
    <xf numFmtId="166" fontId="4" fillId="0" borderId="0" xfId="0" applyNumberFormat="1" applyFont="1" applyAlignment="1">
      <alignment horizontal="center"/>
    </xf>
    <xf numFmtId="167" fontId="4" fillId="0" borderId="0" xfId="0" applyNumberFormat="1" applyFont="1" applyAlignment="1">
      <alignment horizontal="center"/>
    </xf>
    <xf numFmtId="167" fontId="4" fillId="0" borderId="0" xfId="1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3" fillId="2" borderId="0" xfId="0" quotePrefix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45"/>
  <sheetViews>
    <sheetView tabSelected="1" workbookViewId="0">
      <selection activeCell="C29" sqref="C29"/>
    </sheetView>
  </sheetViews>
  <sheetFormatPr baseColWidth="10" defaultColWidth="8.83203125" defaultRowHeight="15" x14ac:dyDescent="0.2"/>
  <cols>
    <col min="1" max="1" width="8.83203125" style="3"/>
    <col min="2" max="2" width="14.6640625" style="4" customWidth="1"/>
    <col min="3" max="3" width="15.33203125" style="4" bestFit="1" customWidth="1"/>
    <col min="4" max="4" width="15" style="4" customWidth="1"/>
    <col min="5" max="6" width="13.33203125" style="4" bestFit="1" customWidth="1"/>
    <col min="7" max="8" width="14.33203125" style="4" bestFit="1" customWidth="1"/>
    <col min="9" max="9" width="12.6640625" style="6" bestFit="1" customWidth="1"/>
    <col min="10" max="10" width="10.6640625" style="4" bestFit="1" customWidth="1"/>
    <col min="11" max="11" width="10.6640625" style="7" bestFit="1" customWidth="1"/>
    <col min="12" max="12" width="11" style="4" customWidth="1"/>
    <col min="13" max="13" width="12.5" style="3" bestFit="1" customWidth="1"/>
    <col min="14" max="15" width="15.1640625" style="3" bestFit="1" customWidth="1"/>
    <col min="16" max="16" width="15.1640625" style="3" customWidth="1"/>
    <col min="17" max="17" width="11.1640625" style="3" customWidth="1"/>
    <col min="18" max="16384" width="8.83203125" style="3"/>
  </cols>
  <sheetData>
    <row r="2" spans="2:12" x14ac:dyDescent="0.2">
      <c r="B2" s="4" t="s">
        <v>24</v>
      </c>
      <c r="C2" s="11">
        <v>44118</v>
      </c>
    </row>
    <row r="3" spans="2:12" x14ac:dyDescent="0.2">
      <c r="C3" s="11"/>
    </row>
    <row r="4" spans="2:12" x14ac:dyDescent="0.2">
      <c r="C4" s="11"/>
    </row>
    <row r="5" spans="2:12" x14ac:dyDescent="0.2">
      <c r="B5" s="17" t="s">
        <v>33</v>
      </c>
      <c r="C5" s="11"/>
    </row>
    <row r="7" spans="2:12" x14ac:dyDescent="0.2">
      <c r="B7" s="1" t="s">
        <v>0</v>
      </c>
      <c r="C7" s="1" t="s">
        <v>1</v>
      </c>
      <c r="D7" s="1" t="s">
        <v>2</v>
      </c>
      <c r="E7" s="1" t="s">
        <v>3</v>
      </c>
      <c r="F7" s="1" t="s">
        <v>4</v>
      </c>
      <c r="G7" s="1" t="s">
        <v>5</v>
      </c>
      <c r="H7" s="1" t="s">
        <v>6</v>
      </c>
      <c r="I7" s="8" t="s">
        <v>7</v>
      </c>
      <c r="J7" s="1" t="s">
        <v>8</v>
      </c>
      <c r="K7" s="9" t="s">
        <v>9</v>
      </c>
      <c r="L7" s="1" t="s">
        <v>10</v>
      </c>
    </row>
    <row r="8" spans="2:12" x14ac:dyDescent="0.2">
      <c r="B8" s="4" t="s">
        <v>11</v>
      </c>
      <c r="C8" s="4" t="s">
        <v>12</v>
      </c>
      <c r="D8" s="4" t="s">
        <v>12</v>
      </c>
      <c r="E8" s="6">
        <v>10000000</v>
      </c>
      <c r="F8" s="6">
        <v>0</v>
      </c>
      <c r="G8" s="6">
        <v>101388.8888888892</v>
      </c>
      <c r="H8" s="4" t="b">
        <v>1</v>
      </c>
      <c r="I8" s="6">
        <v>101388.8888888892</v>
      </c>
      <c r="J8" s="4" t="s">
        <v>13</v>
      </c>
      <c r="K8" s="10">
        <v>0.01</v>
      </c>
      <c r="L8" s="4" t="s">
        <v>14</v>
      </c>
    </row>
    <row r="9" spans="2:12" x14ac:dyDescent="0.2">
      <c r="B9" s="4" t="s">
        <v>12</v>
      </c>
      <c r="C9" s="4" t="s">
        <v>15</v>
      </c>
      <c r="D9" s="4" t="s">
        <v>15</v>
      </c>
      <c r="E9" s="6">
        <v>10000000</v>
      </c>
      <c r="F9" s="6">
        <v>0</v>
      </c>
      <c r="G9" s="6">
        <v>101388.8888888892</v>
      </c>
      <c r="H9" s="4" t="b">
        <v>1</v>
      </c>
      <c r="I9" s="6">
        <v>101388.8888888892</v>
      </c>
      <c r="J9" s="4" t="s">
        <v>13</v>
      </c>
      <c r="K9" s="10">
        <v>0.01</v>
      </c>
      <c r="L9" s="4" t="s">
        <v>14</v>
      </c>
    </row>
    <row r="10" spans="2:12" x14ac:dyDescent="0.2">
      <c r="B10" s="4" t="s">
        <v>15</v>
      </c>
      <c r="C10" s="4" t="s">
        <v>16</v>
      </c>
      <c r="D10" s="4" t="s">
        <v>16</v>
      </c>
      <c r="E10" s="6">
        <v>10000000</v>
      </c>
      <c r="F10" s="6">
        <v>0</v>
      </c>
      <c r="G10" s="6">
        <v>101944.4444444439</v>
      </c>
      <c r="H10" s="4" t="b">
        <v>1</v>
      </c>
      <c r="I10" s="6">
        <v>101944.4444444439</v>
      </c>
      <c r="J10" s="4" t="s">
        <v>13</v>
      </c>
      <c r="K10" s="10">
        <v>0.01</v>
      </c>
      <c r="L10" s="4" t="s">
        <v>14</v>
      </c>
    </row>
    <row r="11" spans="2:12" x14ac:dyDescent="0.2">
      <c r="B11" s="4" t="s">
        <v>16</v>
      </c>
      <c r="C11" s="4" t="s">
        <v>17</v>
      </c>
      <c r="D11" s="4" t="s">
        <v>17</v>
      </c>
      <c r="E11" s="6">
        <v>10000000</v>
      </c>
      <c r="F11" s="6">
        <v>0</v>
      </c>
      <c r="G11" s="6">
        <v>101388.8888888892</v>
      </c>
      <c r="H11" s="4" t="b">
        <v>1</v>
      </c>
      <c r="I11" s="6">
        <v>101388.8888888892</v>
      </c>
      <c r="J11" s="4" t="s">
        <v>13</v>
      </c>
      <c r="K11" s="10">
        <v>0.01</v>
      </c>
      <c r="L11" s="4" t="s">
        <v>14</v>
      </c>
    </row>
    <row r="12" spans="2:12" x14ac:dyDescent="0.2">
      <c r="B12" s="4" t="s">
        <v>17</v>
      </c>
      <c r="C12" s="4" t="s">
        <v>18</v>
      </c>
      <c r="D12" s="4" t="s">
        <v>18</v>
      </c>
      <c r="E12" s="6">
        <v>10000000</v>
      </c>
      <c r="F12" s="6">
        <v>10000000</v>
      </c>
      <c r="G12" s="6">
        <v>101111.11111111179</v>
      </c>
      <c r="H12" s="4" t="b">
        <v>1</v>
      </c>
      <c r="I12" s="6">
        <v>10101111.11111111</v>
      </c>
      <c r="J12" s="4" t="s">
        <v>13</v>
      </c>
      <c r="K12" s="10">
        <v>0.01</v>
      </c>
      <c r="L12" s="4" t="s">
        <v>14</v>
      </c>
    </row>
    <row r="14" spans="2:12" x14ac:dyDescent="0.2">
      <c r="B14" s="2" t="s">
        <v>25</v>
      </c>
      <c r="C14" s="2" t="s">
        <v>26</v>
      </c>
      <c r="D14" s="2" t="s">
        <v>21</v>
      </c>
    </row>
    <row r="15" spans="2:12" x14ac:dyDescent="0.2">
      <c r="B15" s="12">
        <f>D8-$C$2</f>
        <v>365</v>
      </c>
      <c r="C15" s="5" cm="1">
        <f t="array" ref="C15">lininterpol(curva.plazos,curva.tasas,B15)</f>
        <v>7.0237778014444526E-4</v>
      </c>
      <c r="D15" s="5">
        <f>EXP(-C15*B15/365)</f>
        <v>0.99929786882938754</v>
      </c>
    </row>
    <row r="16" spans="2:12" x14ac:dyDescent="0.2">
      <c r="B16" s="12">
        <f>D9-$C$2</f>
        <v>730</v>
      </c>
      <c r="C16" s="5" cm="1">
        <f t="array" ref="C16">lininterpol(curva.plazos,curva.tasas,B16)</f>
        <v>5.6757839699443484E-4</v>
      </c>
      <c r="D16" s="5">
        <f t="shared" ref="D16:D19" si="0">EXP(-C16*B16/365)</f>
        <v>0.99886548725276358</v>
      </c>
    </row>
    <row r="17" spans="2:17" x14ac:dyDescent="0.2">
      <c r="B17" s="12">
        <f>D10-$C$2</f>
        <v>1097</v>
      </c>
      <c r="C17" s="5" cm="1">
        <f t="array" ref="C17">lininterpol(curva.plazos,curva.tasas,B17)</f>
        <v>7.5009894400601229E-4</v>
      </c>
      <c r="D17" s="5">
        <f t="shared" si="0"/>
        <v>0.99774813230362114</v>
      </c>
    </row>
    <row r="18" spans="2:17" x14ac:dyDescent="0.2">
      <c r="B18" s="12">
        <f>D11-$C$2</f>
        <v>1462</v>
      </c>
      <c r="C18" s="5" cm="1">
        <f t="array" ref="C18">lininterpol(curva.plazos,curva.tasas,B18)</f>
        <v>1.2575197717080041E-3</v>
      </c>
      <c r="D18" s="5">
        <f t="shared" si="0"/>
        <v>0.99497569465319224</v>
      </c>
    </row>
    <row r="19" spans="2:17" x14ac:dyDescent="0.2">
      <c r="B19" s="12">
        <f>D12-$C$2</f>
        <v>1826</v>
      </c>
      <c r="C19" s="5" cm="1">
        <f t="array" ref="C19">lininterpol(curva.plazos,curva.tasas,B19)</f>
        <v>1.938640283187496E-3</v>
      </c>
      <c r="D19" s="5">
        <f t="shared" si="0"/>
        <v>0.99034836614141264</v>
      </c>
    </row>
    <row r="21" spans="2:17" x14ac:dyDescent="0.2">
      <c r="B21" s="17" t="s">
        <v>27</v>
      </c>
      <c r="C21" s="14">
        <f>SUMPRODUCT(I8:I12,D15:D19)</f>
        <v>10408804.806788933</v>
      </c>
    </row>
    <row r="22" spans="2:17" x14ac:dyDescent="0.2">
      <c r="C22" s="14"/>
    </row>
    <row r="23" spans="2:17" x14ac:dyDescent="0.2"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</row>
    <row r="25" spans="2:17" x14ac:dyDescent="0.2">
      <c r="B25" s="17" t="s">
        <v>34</v>
      </c>
    </row>
    <row r="26" spans="2:17" x14ac:dyDescent="0.2">
      <c r="B26" s="17"/>
    </row>
    <row r="27" spans="2:17" x14ac:dyDescent="0.2">
      <c r="B27" s="17" t="s">
        <v>44</v>
      </c>
      <c r="C27" s="15">
        <v>1</v>
      </c>
    </row>
    <row r="28" spans="2:17" x14ac:dyDescent="0.2">
      <c r="B28" s="17" t="s">
        <v>45</v>
      </c>
      <c r="C28" s="15">
        <v>1</v>
      </c>
    </row>
    <row r="29" spans="2:17" x14ac:dyDescent="0.2">
      <c r="B29" s="17" t="s">
        <v>49</v>
      </c>
      <c r="C29" s="15" t="b">
        <v>0</v>
      </c>
    </row>
    <row r="31" spans="2:17" x14ac:dyDescent="0.2">
      <c r="B31" s="1" t="s">
        <v>0</v>
      </c>
      <c r="C31" s="1" t="s">
        <v>1</v>
      </c>
      <c r="D31" s="1" t="s">
        <v>2</v>
      </c>
      <c r="E31" s="1" t="s">
        <v>3</v>
      </c>
      <c r="F31" s="1" t="s">
        <v>4</v>
      </c>
      <c r="G31" s="1" t="s">
        <v>6</v>
      </c>
      <c r="H31" s="1" t="s">
        <v>7</v>
      </c>
      <c r="I31" s="8" t="s">
        <v>8</v>
      </c>
      <c r="J31" s="1" t="s">
        <v>28</v>
      </c>
      <c r="K31" s="9" t="s">
        <v>29</v>
      </c>
      <c r="L31" s="1" t="s">
        <v>9</v>
      </c>
      <c r="M31" s="9" t="s">
        <v>5</v>
      </c>
      <c r="N31" s="9" t="s">
        <v>30</v>
      </c>
      <c r="O31" s="9" t="s">
        <v>31</v>
      </c>
      <c r="P31" s="9" t="s">
        <v>10</v>
      </c>
    </row>
    <row r="32" spans="2:17" x14ac:dyDescent="0.2">
      <c r="B32" s="4" t="s">
        <v>11</v>
      </c>
      <c r="C32" s="4" t="s">
        <v>12</v>
      </c>
      <c r="D32" s="4" t="s">
        <v>12</v>
      </c>
      <c r="E32" s="6">
        <v>-10000000</v>
      </c>
      <c r="F32" s="6">
        <v>0</v>
      </c>
      <c r="G32" s="4" t="b">
        <v>1</v>
      </c>
      <c r="H32" s="6">
        <v>-7026.2450517888374</v>
      </c>
      <c r="I32" s="6" t="s">
        <v>32</v>
      </c>
      <c r="J32" s="15">
        <v>1</v>
      </c>
      <c r="K32" s="16">
        <v>1.0007026245051791</v>
      </c>
      <c r="L32" s="10">
        <v>6.9999999999999999E-4</v>
      </c>
      <c r="M32" s="6">
        <v>-7097.2222222231994</v>
      </c>
      <c r="N32" s="5">
        <v>0</v>
      </c>
      <c r="O32" s="4">
        <v>1</v>
      </c>
      <c r="P32" s="4" t="s">
        <v>14</v>
      </c>
    </row>
    <row r="33" spans="2:17" x14ac:dyDescent="0.2">
      <c r="B33" s="4" t="s">
        <v>12</v>
      </c>
      <c r="C33" s="4" t="s">
        <v>15</v>
      </c>
      <c r="D33" s="4" t="s">
        <v>15</v>
      </c>
      <c r="E33" s="6">
        <v>-10000000</v>
      </c>
      <c r="F33" s="6">
        <v>0</v>
      </c>
      <c r="G33" s="4" t="b">
        <v>1</v>
      </c>
      <c r="H33" s="6">
        <v>-4328.7267619307459</v>
      </c>
      <c r="I33" s="6" t="s">
        <v>32</v>
      </c>
      <c r="J33" s="15">
        <v>1.0007026245051791</v>
      </c>
      <c r="K33" s="16">
        <v>1.001135801328322</v>
      </c>
      <c r="L33" s="10">
        <v>4.0000000000000002E-4</v>
      </c>
      <c r="M33" s="6">
        <v>-4055.5555555554788</v>
      </c>
      <c r="N33" s="5">
        <v>0</v>
      </c>
      <c r="O33" s="4">
        <v>1</v>
      </c>
      <c r="P33" s="4" t="s">
        <v>14</v>
      </c>
    </row>
    <row r="34" spans="2:17" x14ac:dyDescent="0.2">
      <c r="B34" s="4" t="s">
        <v>15</v>
      </c>
      <c r="C34" s="4" t="s">
        <v>16</v>
      </c>
      <c r="D34" s="4" t="s">
        <v>16</v>
      </c>
      <c r="E34" s="6">
        <v>-10000000</v>
      </c>
      <c r="F34" s="6">
        <v>0</v>
      </c>
      <c r="G34" s="4" t="b">
        <v>1</v>
      </c>
      <c r="H34" s="6">
        <v>-11198.76763449934</v>
      </c>
      <c r="I34" s="6" t="s">
        <v>32</v>
      </c>
      <c r="J34" s="15">
        <v>1.001135801328322</v>
      </c>
      <c r="K34" s="16">
        <v>1.0022569500492871</v>
      </c>
      <c r="L34" s="10">
        <v>1.1000000000000001E-3</v>
      </c>
      <c r="M34" s="6">
        <v>-11213.88888888797</v>
      </c>
      <c r="N34" s="5">
        <v>0</v>
      </c>
      <c r="O34" s="4">
        <v>1</v>
      </c>
      <c r="P34" s="4" t="s">
        <v>14</v>
      </c>
    </row>
    <row r="35" spans="2:17" x14ac:dyDescent="0.2">
      <c r="B35" s="4" t="s">
        <v>16</v>
      </c>
      <c r="C35" s="4" t="s">
        <v>17</v>
      </c>
      <c r="D35" s="4" t="s">
        <v>17</v>
      </c>
      <c r="E35" s="6">
        <v>-10000000</v>
      </c>
      <c r="F35" s="6">
        <v>0</v>
      </c>
      <c r="G35" s="4" t="b">
        <v>1</v>
      </c>
      <c r="H35" s="6">
        <v>-27864.375635779921</v>
      </c>
      <c r="I35" s="6" t="s">
        <v>32</v>
      </c>
      <c r="J35" s="15">
        <v>1.0022569500492871</v>
      </c>
      <c r="K35" s="16">
        <v>1.0050496764632619</v>
      </c>
      <c r="L35" s="10">
        <v>2.7000000000000001E-3</v>
      </c>
      <c r="M35" s="6">
        <v>-27375.000000000589</v>
      </c>
      <c r="N35" s="5">
        <v>0</v>
      </c>
      <c r="O35" s="4">
        <v>1</v>
      </c>
      <c r="P35" s="4" t="s">
        <v>14</v>
      </c>
    </row>
    <row r="36" spans="2:17" x14ac:dyDescent="0.2">
      <c r="B36" s="4" t="s">
        <v>17</v>
      </c>
      <c r="C36" s="4" t="s">
        <v>18</v>
      </c>
      <c r="D36" s="4" t="s">
        <v>18</v>
      </c>
      <c r="E36" s="6">
        <v>-10000000</v>
      </c>
      <c r="F36" s="6">
        <v>-10000000</v>
      </c>
      <c r="G36" s="4" t="b">
        <v>1</v>
      </c>
      <c r="H36" s="6">
        <v>-10046724.250475699</v>
      </c>
      <c r="I36" s="6" t="s">
        <v>32</v>
      </c>
      <c r="J36" s="15">
        <v>1.0050496764632619</v>
      </c>
      <c r="K36" s="16">
        <v>1.009745695745621</v>
      </c>
      <c r="L36" s="10">
        <v>4.5999999999999999E-3</v>
      </c>
      <c r="M36" s="6">
        <v>-46511.111111111612</v>
      </c>
      <c r="N36" s="5">
        <v>0</v>
      </c>
      <c r="O36" s="4">
        <v>1</v>
      </c>
      <c r="P36" s="4" t="s">
        <v>14</v>
      </c>
    </row>
    <row r="38" spans="2:17" x14ac:dyDescent="0.2">
      <c r="B38" s="2" t="s">
        <v>35</v>
      </c>
      <c r="C38" s="2" t="s">
        <v>36</v>
      </c>
      <c r="D38" s="2" t="s">
        <v>37</v>
      </c>
      <c r="E38" s="2" t="s">
        <v>38</v>
      </c>
      <c r="F38" s="2" t="s">
        <v>39</v>
      </c>
      <c r="G38" s="2" t="s">
        <v>40</v>
      </c>
      <c r="H38" s="2" t="s">
        <v>42</v>
      </c>
      <c r="I38" s="2" t="s">
        <v>43</v>
      </c>
      <c r="J38" s="2" t="s">
        <v>41</v>
      </c>
      <c r="K38" s="2" t="s">
        <v>46</v>
      </c>
      <c r="L38" s="2" t="s">
        <v>47</v>
      </c>
      <c r="M38" s="2" t="s">
        <v>48</v>
      </c>
      <c r="N38" s="2" t="s">
        <v>5</v>
      </c>
      <c r="O38" s="2" t="s">
        <v>7</v>
      </c>
      <c r="P38" s="2" t="s">
        <v>26</v>
      </c>
      <c r="Q38" s="2" t="s">
        <v>21</v>
      </c>
    </row>
    <row r="39" spans="2:17" x14ac:dyDescent="0.2">
      <c r="B39" s="12">
        <f>B32-$C$2</f>
        <v>0</v>
      </c>
      <c r="C39" s="12">
        <f t="shared" ref="C39:D39" si="1">C32-$C$2</f>
        <v>365</v>
      </c>
      <c r="D39" s="12">
        <f t="shared" si="1"/>
        <v>365</v>
      </c>
      <c r="E39" s="5" cm="1">
        <f t="array" ref="E39">lininterpol(curva.plazos,curva.tasas,B39)</f>
        <v>8.1111020988319208E-4</v>
      </c>
      <c r="F39" s="5" cm="1">
        <f t="array" ref="F39">lininterpol(curva.plazos,curva.tasas,C39)</f>
        <v>7.0237778014444526E-4</v>
      </c>
      <c r="G39" s="5" cm="1">
        <f t="array" ref="G39">lininterpol(curva.plazos,curva.tasas,D39)</f>
        <v>7.0237778014444526E-4</v>
      </c>
      <c r="H39" s="5">
        <f>EXP(E39*B39/365)</f>
        <v>1</v>
      </c>
      <c r="I39" s="5">
        <f t="shared" ref="I39:I43" si="2">EXP(F39*C39/365)</f>
        <v>1.0007026245051789</v>
      </c>
      <c r="J39" s="5">
        <f t="shared" ref="J39" si="3">EXP(-G39*D39/365)</f>
        <v>0.99929786882938754</v>
      </c>
      <c r="K39" s="16">
        <f>C27</f>
        <v>1</v>
      </c>
      <c r="L39" s="15">
        <f>K39*I39/H39</f>
        <v>1.0007026245051789</v>
      </c>
      <c r="M39" s="5">
        <f>IF($C$29,ROUND((L39/K39-1)*360/(C32-B32),4),(L39/K39-1)*360/(C32-B32))</f>
        <v>6.9299951195725526E-4</v>
      </c>
      <c r="N39" s="6">
        <f>E32*M39*(C32-B32)/360</f>
        <v>-7026.2450517888374</v>
      </c>
      <c r="O39" s="6">
        <f>F32+N39</f>
        <v>-7026.2450517888374</v>
      </c>
      <c r="P39" s="5" cm="1">
        <f t="array" ref="P39">lininterpol(curva.plazos,curva.tasas,D39)</f>
        <v>7.0237778014444526E-4</v>
      </c>
      <c r="Q39" s="13">
        <f>EXP(-P39*D39/365)</f>
        <v>0.99929786882938754</v>
      </c>
    </row>
    <row r="40" spans="2:17" x14ac:dyDescent="0.2">
      <c r="B40" s="12">
        <f t="shared" ref="B40:D40" si="4">B33-$C$2</f>
        <v>365</v>
      </c>
      <c r="C40" s="12">
        <f t="shared" si="4"/>
        <v>730</v>
      </c>
      <c r="D40" s="12">
        <f t="shared" si="4"/>
        <v>730</v>
      </c>
      <c r="E40" s="5" cm="1">
        <f t="array" ref="E40">lininterpol(curva.plazos,curva.tasas,B40)</f>
        <v>7.0237778014444526E-4</v>
      </c>
      <c r="F40" s="5" cm="1">
        <f t="array" ref="F40">lininterpol(curva.plazos,curva.tasas,C40)</f>
        <v>5.6757839699443484E-4</v>
      </c>
      <c r="G40" s="5" cm="1">
        <f t="array" ref="G40">lininterpol(curva.plazos,curva.tasas,D40)</f>
        <v>5.6757839699443484E-4</v>
      </c>
      <c r="H40" s="5">
        <f t="shared" ref="H40:H43" si="5">EXP(E40*B40/365)</f>
        <v>1.0007026245051789</v>
      </c>
      <c r="I40" s="5">
        <f t="shared" si="2"/>
        <v>1.0011358013283218</v>
      </c>
      <c r="J40" s="5">
        <f t="shared" ref="J40:J43" si="6">EXP(-G40*D40/365)</f>
        <v>0.99886548725276358</v>
      </c>
      <c r="K40" s="16">
        <f>L39</f>
        <v>1.0007026245051789</v>
      </c>
      <c r="L40" s="15">
        <f t="shared" ref="L40:L43" si="7">K40*I40/H40</f>
        <v>1.0011358013283218</v>
      </c>
      <c r="M40" s="5">
        <f t="shared" ref="M40:M43" si="8">IF($C$29,ROUND((L40/K40-1)*360/(C33-B33),4),(L40/K40-1)*360/(C33-B33))</f>
        <v>4.2694291350549822E-4</v>
      </c>
      <c r="N40" s="6">
        <f>E33*M40*(C33-B33)/360</f>
        <v>-4328.7267619307459</v>
      </c>
      <c r="O40" s="6">
        <f>F33+N40</f>
        <v>-4328.7267619307459</v>
      </c>
      <c r="P40" s="5" cm="1">
        <f t="array" ref="P40">lininterpol(curva.plazos,curva.tasas,D40)</f>
        <v>5.6757839699443484E-4</v>
      </c>
      <c r="Q40" s="13">
        <f>EXP(-P40*D40/365)</f>
        <v>0.99886548725276358</v>
      </c>
    </row>
    <row r="41" spans="2:17" x14ac:dyDescent="0.2">
      <c r="B41" s="12">
        <f t="shared" ref="B41:D41" si="9">B34-$C$2</f>
        <v>730</v>
      </c>
      <c r="C41" s="12">
        <f t="shared" si="9"/>
        <v>1097</v>
      </c>
      <c r="D41" s="12">
        <f t="shared" si="9"/>
        <v>1097</v>
      </c>
      <c r="E41" s="5" cm="1">
        <f t="array" ref="E41">lininterpol(curva.plazos,curva.tasas,B41)</f>
        <v>5.6757839699443484E-4</v>
      </c>
      <c r="F41" s="5" cm="1">
        <f t="array" ref="F41">lininterpol(curva.plazos,curva.tasas,C41)</f>
        <v>7.5009894400601229E-4</v>
      </c>
      <c r="G41" s="5" cm="1">
        <f t="array" ref="G41">lininterpol(curva.plazos,curva.tasas,D41)</f>
        <v>7.5009894400601229E-4</v>
      </c>
      <c r="H41" s="5">
        <f t="shared" si="5"/>
        <v>1.0011358013283218</v>
      </c>
      <c r="I41" s="5">
        <f t="shared" si="2"/>
        <v>1.0022569500492873</v>
      </c>
      <c r="J41" s="5">
        <f t="shared" si="6"/>
        <v>0.99774813230362114</v>
      </c>
      <c r="K41" s="16">
        <f t="shared" ref="K41:K43" si="10">L40</f>
        <v>1.0011358013283218</v>
      </c>
      <c r="L41" s="15">
        <f t="shared" si="7"/>
        <v>1.0022569500492873</v>
      </c>
      <c r="M41" s="5">
        <f t="shared" si="8"/>
        <v>1.0985167161906709E-3</v>
      </c>
      <c r="N41" s="6">
        <f>E34*M41*(C34-B34)/360</f>
        <v>-11198.76763449934</v>
      </c>
      <c r="O41" s="6">
        <f>F34+N41</f>
        <v>-11198.76763449934</v>
      </c>
      <c r="P41" s="5" cm="1">
        <f t="array" ref="P41">lininterpol(curva.plazos,curva.tasas,D41)</f>
        <v>7.5009894400601229E-4</v>
      </c>
      <c r="Q41" s="13">
        <f>EXP(-P41*D41/365)</f>
        <v>0.99774813230362114</v>
      </c>
    </row>
    <row r="42" spans="2:17" x14ac:dyDescent="0.2">
      <c r="B42" s="12">
        <f t="shared" ref="B42:D42" si="11">B35-$C$2</f>
        <v>1097</v>
      </c>
      <c r="C42" s="12">
        <f t="shared" si="11"/>
        <v>1462</v>
      </c>
      <c r="D42" s="12">
        <f t="shared" si="11"/>
        <v>1462</v>
      </c>
      <c r="E42" s="5" cm="1">
        <f t="array" ref="E42">lininterpol(curva.plazos,curva.tasas,B42)</f>
        <v>7.5009894400601229E-4</v>
      </c>
      <c r="F42" s="5" cm="1">
        <f t="array" ref="F42">lininterpol(curva.plazos,curva.tasas,C42)</f>
        <v>1.2575197717080041E-3</v>
      </c>
      <c r="G42" s="5" cm="1">
        <f t="array" ref="G42">lininterpol(curva.plazos,curva.tasas,D42)</f>
        <v>1.2575197717080041E-3</v>
      </c>
      <c r="H42" s="5">
        <f t="shared" si="5"/>
        <v>1.0022569500492873</v>
      </c>
      <c r="I42" s="5">
        <f t="shared" si="2"/>
        <v>1.0050496764632617</v>
      </c>
      <c r="J42" s="5">
        <f t="shared" si="6"/>
        <v>0.99497569465319224</v>
      </c>
      <c r="K42" s="16">
        <f t="shared" si="10"/>
        <v>1.0022569500492873</v>
      </c>
      <c r="L42" s="15">
        <f t="shared" si="7"/>
        <v>1.0050496764632617</v>
      </c>
      <c r="M42" s="5">
        <f t="shared" si="8"/>
        <v>2.7482671859947322E-3</v>
      </c>
      <c r="N42" s="6">
        <f>E35*M42*(C35-B35)/360</f>
        <v>-27864.375635779925</v>
      </c>
      <c r="O42" s="6">
        <f>F35+N42</f>
        <v>-27864.375635779925</v>
      </c>
      <c r="P42" s="5" cm="1">
        <f t="array" ref="P42">lininterpol(curva.plazos,curva.tasas,D42)</f>
        <v>1.2575197717080041E-3</v>
      </c>
      <c r="Q42" s="13">
        <f>EXP(-P42*D42/365)</f>
        <v>0.99497569465319224</v>
      </c>
    </row>
    <row r="43" spans="2:17" x14ac:dyDescent="0.2">
      <c r="B43" s="12">
        <f t="shared" ref="B43:D43" si="12">B36-$C$2</f>
        <v>1462</v>
      </c>
      <c r="C43" s="12">
        <f t="shared" si="12"/>
        <v>1826</v>
      </c>
      <c r="D43" s="12">
        <f t="shared" si="12"/>
        <v>1826</v>
      </c>
      <c r="E43" s="5" cm="1">
        <f t="array" ref="E43">lininterpol(curva.plazos,curva.tasas,B43)</f>
        <v>1.2575197717080041E-3</v>
      </c>
      <c r="F43" s="5" cm="1">
        <f t="array" ref="F43">lininterpol(curva.plazos,curva.tasas,C43)</f>
        <v>1.938640283187496E-3</v>
      </c>
      <c r="G43" s="5" cm="1">
        <f t="array" ref="G43">lininterpol(curva.plazos,curva.tasas,D43)</f>
        <v>1.938640283187496E-3</v>
      </c>
      <c r="H43" s="5">
        <f t="shared" si="5"/>
        <v>1.0050496764632617</v>
      </c>
      <c r="I43" s="5">
        <f t="shared" si="2"/>
        <v>1.0097456957456212</v>
      </c>
      <c r="J43" s="5">
        <f t="shared" si="6"/>
        <v>0.99034836614141264</v>
      </c>
      <c r="K43" s="16">
        <f t="shared" si="10"/>
        <v>1.0050496764632617</v>
      </c>
      <c r="L43" s="15">
        <f t="shared" si="7"/>
        <v>1.0097456957456212</v>
      </c>
      <c r="M43" s="5">
        <f t="shared" si="8"/>
        <v>4.6210797173774007E-3</v>
      </c>
      <c r="N43" s="6">
        <f>E36*M43*(C36-B36)/360</f>
        <v>-46724.250475704837</v>
      </c>
      <c r="O43" s="6">
        <f>F36+N43</f>
        <v>-10046724.250475705</v>
      </c>
      <c r="P43" s="5" cm="1">
        <f t="array" ref="P43">lininterpol(curva.plazos,curva.tasas,D43)</f>
        <v>1.938640283187496E-3</v>
      </c>
      <c r="Q43" s="13">
        <f>EXP(-P43*D43/365)</f>
        <v>0.99034836614141264</v>
      </c>
    </row>
    <row r="45" spans="2:17" x14ac:dyDescent="0.2">
      <c r="B45" s="4" t="s">
        <v>27</v>
      </c>
      <c r="C45" s="14">
        <f>SUMPRODUCT(O39:O43,Q39:Q43)</f>
        <v>-10000000</v>
      </c>
    </row>
  </sheetData>
  <dataValidations count="1">
    <dataValidation type="list" allowBlank="1" showInputMessage="1" showErrorMessage="1" sqref="C29" xr:uid="{ECA14981-F190-E446-85CD-D3C9C86AC77E}">
      <formula1>"TRUE,FALSE"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9DA9-ED16-764E-9412-1E5F274BF5C6}">
  <sheetPr codeName="Sheet2"/>
  <dimension ref="A1:F34"/>
  <sheetViews>
    <sheetView workbookViewId="0">
      <selection activeCell="B2" sqref="B2:B34"/>
    </sheetView>
  </sheetViews>
  <sheetFormatPr baseColWidth="10" defaultRowHeight="15" x14ac:dyDescent="0.2"/>
  <cols>
    <col min="1" max="3" width="10.83203125" style="4"/>
    <col min="4" max="16384" width="10.83203125" style="3"/>
  </cols>
  <sheetData>
    <row r="1" spans="1:6" x14ac:dyDescent="0.2">
      <c r="A1" s="1" t="s">
        <v>19</v>
      </c>
      <c r="B1" s="1" t="s">
        <v>20</v>
      </c>
      <c r="C1" s="1" t="s">
        <v>21</v>
      </c>
      <c r="D1" s="2" t="s">
        <v>22</v>
      </c>
    </row>
    <row r="2" spans="1:6" x14ac:dyDescent="0.2">
      <c r="A2" s="4">
        <v>1</v>
      </c>
      <c r="B2" s="5">
        <v>8.1111020988319208E-4</v>
      </c>
      <c r="C2" s="5">
        <v>0.99999777778271604</v>
      </c>
      <c r="D2" s="5">
        <f>EXP(-B2*A2/365)</f>
        <v>0.99999777778271604</v>
      </c>
      <c r="F2" s="3" t="s">
        <v>23</v>
      </c>
    </row>
    <row r="3" spans="1:6" x14ac:dyDescent="0.2">
      <c r="A3" s="4">
        <v>7</v>
      </c>
      <c r="B3" s="5">
        <v>8.405071032302658E-4</v>
      </c>
      <c r="C3" s="5">
        <v>0.99998388081560696</v>
      </c>
      <c r="D3" s="5">
        <f t="shared" ref="D3:D34" si="0">EXP(-B3*A3/365)</f>
        <v>0.99998388081560696</v>
      </c>
    </row>
    <row r="4" spans="1:6" x14ac:dyDescent="0.2">
      <c r="A4" s="4">
        <v>14</v>
      </c>
      <c r="B4" s="5">
        <v>7.7966887600921652E-4</v>
      </c>
      <c r="C4" s="5">
        <v>0.99997009533958037</v>
      </c>
      <c r="D4" s="5">
        <f t="shared" si="0"/>
        <v>0.99997009533958037</v>
      </c>
    </row>
    <row r="5" spans="1:6" x14ac:dyDescent="0.2">
      <c r="A5" s="4">
        <v>21</v>
      </c>
      <c r="B5" s="5">
        <v>7.7358052467388914E-4</v>
      </c>
      <c r="C5" s="5">
        <v>0.99995549361778591</v>
      </c>
      <c r="D5" s="5">
        <f t="shared" si="0"/>
        <v>0.99995549361778591</v>
      </c>
    </row>
    <row r="6" spans="1:6" x14ac:dyDescent="0.2">
      <c r="A6" s="4">
        <v>33</v>
      </c>
      <c r="B6" s="5">
        <v>7.8066692726906704E-4</v>
      </c>
      <c r="C6" s="5">
        <v>0.9999294216452902</v>
      </c>
      <c r="D6" s="5">
        <f t="shared" si="0"/>
        <v>0.9999294216452902</v>
      </c>
    </row>
    <row r="7" spans="1:6" x14ac:dyDescent="0.2">
      <c r="A7" s="4">
        <v>61</v>
      </c>
      <c r="B7" s="5">
        <v>7.8064351517468831E-4</v>
      </c>
      <c r="C7" s="5">
        <v>0.9998695447992646</v>
      </c>
      <c r="D7" s="5">
        <f t="shared" si="0"/>
        <v>0.9998695447992646</v>
      </c>
    </row>
    <row r="8" spans="1:6" x14ac:dyDescent="0.2">
      <c r="A8" s="4">
        <v>92</v>
      </c>
      <c r="B8" s="5">
        <v>8.1102822846673933E-4</v>
      </c>
      <c r="C8" s="5">
        <v>0.99979559733959433</v>
      </c>
      <c r="D8" s="5">
        <f t="shared" si="0"/>
        <v>0.99979559733959433</v>
      </c>
    </row>
    <row r="9" spans="1:6" x14ac:dyDescent="0.2">
      <c r="A9" s="4">
        <v>125</v>
      </c>
      <c r="B9" s="5">
        <v>7.8059009514618082E-4</v>
      </c>
      <c r="C9" s="5">
        <v>0.99973271035319422</v>
      </c>
      <c r="D9" s="5">
        <f t="shared" si="0"/>
        <v>0.99973271035319422</v>
      </c>
    </row>
    <row r="10" spans="1:6" x14ac:dyDescent="0.2">
      <c r="A10" s="4">
        <v>152</v>
      </c>
      <c r="B10" s="5">
        <v>7.6029628522093155E-4</v>
      </c>
      <c r="C10" s="5">
        <v>0.99968343358251044</v>
      </c>
      <c r="D10" s="5">
        <f t="shared" si="0"/>
        <v>0.99968343358251044</v>
      </c>
    </row>
    <row r="11" spans="1:6" x14ac:dyDescent="0.2">
      <c r="A11" s="4">
        <v>182</v>
      </c>
      <c r="B11" s="5">
        <v>7.5013747880973362E-4</v>
      </c>
      <c r="C11" s="5">
        <v>0.99962602879085394</v>
      </c>
      <c r="D11" s="5">
        <f t="shared" si="0"/>
        <v>0.99962602879085394</v>
      </c>
    </row>
    <row r="12" spans="1:6" x14ac:dyDescent="0.2">
      <c r="A12" s="4">
        <v>212</v>
      </c>
      <c r="B12" s="5">
        <v>7.3592602409974003E-4</v>
      </c>
      <c r="C12" s="5">
        <v>0.99957264937561929</v>
      </c>
      <c r="D12" s="5">
        <f t="shared" si="0"/>
        <v>0.99957264937561929</v>
      </c>
    </row>
    <row r="13" spans="1:6" x14ac:dyDescent="0.2">
      <c r="A13" s="4">
        <v>243</v>
      </c>
      <c r="B13" s="5">
        <v>7.2475518231243533E-4</v>
      </c>
      <c r="C13" s="5">
        <v>0.99951760814372004</v>
      </c>
      <c r="D13" s="5">
        <f t="shared" si="0"/>
        <v>0.99951760814372004</v>
      </c>
    </row>
    <row r="14" spans="1:6" x14ac:dyDescent="0.2">
      <c r="A14" s="4">
        <v>273</v>
      </c>
      <c r="B14" s="5">
        <v>7.1966737384002492E-4</v>
      </c>
      <c r="C14" s="5">
        <v>0.99946187308045176</v>
      </c>
      <c r="D14" s="5">
        <f t="shared" si="0"/>
        <v>0.99946187308045176</v>
      </c>
    </row>
    <row r="15" spans="1:6" x14ac:dyDescent="0.2">
      <c r="A15" s="4">
        <v>306</v>
      </c>
      <c r="B15" s="5">
        <v>7.1356429676029611E-4</v>
      </c>
      <c r="C15" s="5">
        <v>0.99940195787165009</v>
      </c>
      <c r="D15" s="5">
        <f t="shared" si="0"/>
        <v>0.99940195787165009</v>
      </c>
    </row>
    <row r="16" spans="1:6" x14ac:dyDescent="0.2">
      <c r="A16" s="4">
        <v>335</v>
      </c>
      <c r="B16" s="5">
        <v>7.0847796422839342E-4</v>
      </c>
      <c r="C16" s="5">
        <v>0.99934996446602364</v>
      </c>
      <c r="D16" s="5">
        <f t="shared" si="0"/>
        <v>0.99934996446602364</v>
      </c>
    </row>
    <row r="17" spans="1:4" x14ac:dyDescent="0.2">
      <c r="A17" s="4">
        <v>365</v>
      </c>
      <c r="B17" s="5">
        <v>7.0237778014444526E-4</v>
      </c>
      <c r="C17" s="5">
        <v>0.99929786882938754</v>
      </c>
      <c r="D17" s="5">
        <f t="shared" si="0"/>
        <v>0.99929786882938754</v>
      </c>
    </row>
    <row r="18" spans="1:4" x14ac:dyDescent="0.2">
      <c r="A18" s="4">
        <v>547</v>
      </c>
      <c r="B18" s="5">
        <v>6.4160859840740154E-4</v>
      </c>
      <c r="C18" s="5">
        <v>0.99903892814394779</v>
      </c>
      <c r="D18" s="5">
        <f t="shared" si="0"/>
        <v>0.99903892814394779</v>
      </c>
    </row>
    <row r="19" spans="1:4" x14ac:dyDescent="0.2">
      <c r="A19" s="4">
        <v>730</v>
      </c>
      <c r="B19" s="5">
        <v>5.6757839699443484E-4</v>
      </c>
      <c r="C19" s="5">
        <v>0.99886548725276358</v>
      </c>
      <c r="D19" s="5">
        <f t="shared" si="0"/>
        <v>0.99886548725276358</v>
      </c>
    </row>
    <row r="20" spans="1:4" x14ac:dyDescent="0.2">
      <c r="A20" s="4">
        <v>1097</v>
      </c>
      <c r="B20" s="5">
        <v>7.5009894400601229E-4</v>
      </c>
      <c r="C20" s="5">
        <v>0.99774813230362114</v>
      </c>
      <c r="D20" s="5">
        <f t="shared" si="0"/>
        <v>0.99774813230362114</v>
      </c>
    </row>
    <row r="21" spans="1:4" x14ac:dyDescent="0.2">
      <c r="A21" s="4">
        <v>1462</v>
      </c>
      <c r="B21" s="5">
        <v>1.2575197717080041E-3</v>
      </c>
      <c r="C21" s="5">
        <v>0.99497569465319224</v>
      </c>
      <c r="D21" s="5">
        <f t="shared" si="0"/>
        <v>0.99497569465319224</v>
      </c>
    </row>
    <row r="22" spans="1:4" x14ac:dyDescent="0.2">
      <c r="A22" s="4">
        <v>1826</v>
      </c>
      <c r="B22" s="5">
        <v>1.938640283187496E-3</v>
      </c>
      <c r="C22" s="5">
        <v>0.99034836614141264</v>
      </c>
      <c r="D22" s="5">
        <f t="shared" si="0"/>
        <v>0.99034836614141264</v>
      </c>
    </row>
    <row r="23" spans="1:4" x14ac:dyDescent="0.2">
      <c r="A23" s="4">
        <v>2191</v>
      </c>
      <c r="B23" s="5">
        <v>2.7746329448388712E-3</v>
      </c>
      <c r="C23" s="5">
        <v>0.9834825349160965</v>
      </c>
      <c r="D23" s="5">
        <f t="shared" si="0"/>
        <v>0.9834825349160965</v>
      </c>
    </row>
    <row r="24" spans="1:4" x14ac:dyDescent="0.2">
      <c r="A24" s="4">
        <v>2556</v>
      </c>
      <c r="B24" s="5">
        <v>3.603402784849016E-3</v>
      </c>
      <c r="C24" s="5">
        <v>0.97508201669951744</v>
      </c>
      <c r="D24" s="5">
        <f t="shared" si="0"/>
        <v>0.97508201669951744</v>
      </c>
    </row>
    <row r="25" spans="1:4" x14ac:dyDescent="0.2">
      <c r="A25" s="4">
        <v>2924</v>
      </c>
      <c r="B25" s="5">
        <v>4.3841259231981672E-3</v>
      </c>
      <c r="C25" s="5">
        <v>0.9654885342847892</v>
      </c>
      <c r="D25" s="5">
        <f t="shared" si="0"/>
        <v>0.9654885342847892</v>
      </c>
    </row>
    <row r="26" spans="1:4" x14ac:dyDescent="0.2">
      <c r="A26" s="4">
        <v>3288</v>
      </c>
      <c r="B26" s="5">
        <v>5.116828317946096E-3</v>
      </c>
      <c r="C26" s="5">
        <v>0.95495265945188179</v>
      </c>
      <c r="D26" s="5">
        <f t="shared" si="0"/>
        <v>0.95495265945188179</v>
      </c>
    </row>
    <row r="27" spans="1:4" x14ac:dyDescent="0.2">
      <c r="A27" s="4">
        <v>3653</v>
      </c>
      <c r="B27" s="5">
        <v>5.8116574729007364E-3</v>
      </c>
      <c r="C27" s="5">
        <v>0.94349487907028018</v>
      </c>
      <c r="D27" s="5">
        <f t="shared" si="0"/>
        <v>0.94349487907028018</v>
      </c>
    </row>
    <row r="28" spans="1:4" x14ac:dyDescent="0.2">
      <c r="A28" s="4">
        <v>4383</v>
      </c>
      <c r="B28" s="5">
        <v>6.9174838311222338E-3</v>
      </c>
      <c r="C28" s="5">
        <v>0.92028979681228129</v>
      </c>
      <c r="D28" s="5">
        <f t="shared" si="0"/>
        <v>0.92028979681228129</v>
      </c>
    </row>
    <row r="29" spans="1:4" x14ac:dyDescent="0.2">
      <c r="A29" s="4">
        <v>5479</v>
      </c>
      <c r="B29" s="5">
        <v>8.0635259391965176E-3</v>
      </c>
      <c r="C29" s="5">
        <v>0.88599740569085639</v>
      </c>
      <c r="D29" s="5">
        <f t="shared" si="0"/>
        <v>0.88599740569085639</v>
      </c>
    </row>
    <row r="30" spans="1:4" x14ac:dyDescent="0.2">
      <c r="A30" s="4">
        <v>7306</v>
      </c>
      <c r="B30" s="5">
        <v>9.2532411172068906E-3</v>
      </c>
      <c r="C30" s="5">
        <v>0.83092401160698559</v>
      </c>
      <c r="D30" s="5">
        <f t="shared" si="0"/>
        <v>0.83092401160698559</v>
      </c>
    </row>
    <row r="31" spans="1:4" x14ac:dyDescent="0.2">
      <c r="A31" s="4">
        <v>9133</v>
      </c>
      <c r="B31" s="5">
        <v>9.6571892053398754E-3</v>
      </c>
      <c r="C31" s="5">
        <v>0.78533775345648227</v>
      </c>
      <c r="D31" s="5">
        <f t="shared" si="0"/>
        <v>0.78533775345648227</v>
      </c>
    </row>
    <row r="32" spans="1:4" x14ac:dyDescent="0.2">
      <c r="A32" s="4">
        <v>10957</v>
      </c>
      <c r="B32" s="5">
        <v>9.8810273277803867E-3</v>
      </c>
      <c r="C32" s="5">
        <v>0.7433261856293053</v>
      </c>
      <c r="D32" s="5">
        <f t="shared" si="0"/>
        <v>0.7433261856293053</v>
      </c>
    </row>
    <row r="33" spans="1:4" x14ac:dyDescent="0.2">
      <c r="A33" s="4">
        <v>14610</v>
      </c>
      <c r="B33" s="5">
        <v>9.4083243613379795E-3</v>
      </c>
      <c r="C33" s="5">
        <v>0.68619685157957866</v>
      </c>
      <c r="D33" s="5">
        <f t="shared" si="0"/>
        <v>0.68619685157957866</v>
      </c>
    </row>
    <row r="34" spans="1:4" x14ac:dyDescent="0.2">
      <c r="A34" s="4">
        <v>18262</v>
      </c>
      <c r="B34" s="5">
        <v>8.4642633891206659E-3</v>
      </c>
      <c r="C34" s="5">
        <v>0.65475677603349114</v>
      </c>
      <c r="D34" s="5">
        <f t="shared" si="0"/>
        <v>0.65475677603349114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valorizacion</vt:lpstr>
      <vt:lpstr>curva</vt:lpstr>
      <vt:lpstr>curva.plazos</vt:lpstr>
      <vt:lpstr>curva.tasas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Alvaro Diaz</cp:lastModifiedBy>
  <dcterms:created xsi:type="dcterms:W3CDTF">2021-10-16T12:39:52Z</dcterms:created>
  <dcterms:modified xsi:type="dcterms:W3CDTF">2021-10-20T18:00:27Z</dcterms:modified>
</cp:coreProperties>
</file>