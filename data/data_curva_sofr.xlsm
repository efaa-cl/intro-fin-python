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arodiaz/Desktop/"/>
    </mc:Choice>
  </mc:AlternateContent>
  <xr:revisionPtr revIDLastSave="0" documentId="13_ncr:1_{123FC94B-1A37-044A-9C63-0DDCC0ABD0BA}" xr6:coauthVersionLast="47" xr6:coauthVersionMax="47" xr10:uidLastSave="{00000000-0000-0000-0000-000000000000}"/>
  <bookViews>
    <workbookView xWindow="5540" yWindow="2300" windowWidth="27700" windowHeight="16940" xr2:uid="{632FDF5E-FEFA-2240-BF4D-410325900C36}"/>
  </bookViews>
  <sheets>
    <sheet name="data" sheetId="1" r:id="rId1"/>
  </sheets>
  <functionGroups builtInGroupCount="19"/>
  <calcPr calcId="191029" iterate="1" iterateDelta="1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 a="1"/>
  <c r="D17" i="1" a="1"/>
  <c r="D9" i="1" a="1"/>
  <c r="D16" i="1" a="1"/>
  <c r="D15" i="1" a="1"/>
  <c r="D7" i="1" a="1"/>
  <c r="D13" i="1" a="1"/>
  <c r="D11" i="1" a="1"/>
  <c r="D18" i="1" a="1"/>
  <c r="D8" i="1" a="1"/>
  <c r="D14" i="1" a="1"/>
  <c r="D12" i="1" a="1"/>
  <c r="D6" i="1" a="1"/>
  <c r="D19" i="1" a="1"/>
  <c r="D31" i="1" a="1"/>
  <c r="D34" i="1" a="1"/>
  <c r="D27" i="1" a="1"/>
  <c r="D22" i="1" a="1"/>
  <c r="D24" i="1" a="1"/>
  <c r="D26" i="1" a="1"/>
  <c r="D25" i="1" a="1"/>
  <c r="D20" i="1" a="1"/>
  <c r="D32" i="1" a="1"/>
  <c r="D30" i="1" a="1"/>
  <c r="D33" i="1" a="1"/>
  <c r="D23" i="1" a="1"/>
  <c r="D28" i="1" a="1"/>
  <c r="D21" i="1" a="1"/>
  <c r="D29" i="1" a="1"/>
  <c r="D12" i="1" l="1"/>
  <c r="D14" i="1"/>
  <c r="D8" i="1"/>
  <c r="D18" i="1"/>
  <c r="D11" i="1"/>
  <c r="D13" i="1"/>
  <c r="D7" i="1"/>
  <c r="D15" i="1"/>
  <c r="D16" i="1"/>
  <c r="D9" i="1"/>
  <c r="D17" i="1"/>
  <c r="D10" i="1"/>
  <c r="D6" i="1"/>
  <c r="D29" i="1"/>
  <c r="D21" i="1"/>
  <c r="D28" i="1"/>
  <c r="D23" i="1"/>
  <c r="D33" i="1"/>
  <c r="D30" i="1"/>
  <c r="D32" i="1"/>
  <c r="D20" i="1"/>
  <c r="D25" i="1"/>
  <c r="D26" i="1"/>
  <c r="D24" i="1"/>
  <c r="D22" i="1"/>
  <c r="D27" i="1"/>
  <c r="D34" i="1"/>
  <c r="D31" i="1"/>
  <c r="D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<sst xmlns="http://schemas.openxmlformats.org/spreadsheetml/2006/main" count="278" uniqueCount="87">
  <si>
    <t>bbg ticker</t>
  </si>
  <si>
    <t>rate</t>
  </si>
  <si>
    <t>start_date</t>
  </si>
  <si>
    <t>tenor</t>
  </si>
  <si>
    <t>periodicity</t>
  </si>
  <si>
    <t>stub_period</t>
  </si>
  <si>
    <t>settlement_lag</t>
  </si>
  <si>
    <t>rolling</t>
  </si>
  <si>
    <t>nominal</t>
  </si>
  <si>
    <t>amort_is_cashflow</t>
  </si>
  <si>
    <t>currency</t>
  </si>
  <si>
    <t>interest_rate</t>
  </si>
  <si>
    <t>SOFRRATE Index</t>
  </si>
  <si>
    <t>2D</t>
  </si>
  <si>
    <t>1Y</t>
  </si>
  <si>
    <t>SHORT_FRONT</t>
  </si>
  <si>
    <t>MOD_FOLLOW</t>
  </si>
  <si>
    <t>USD</t>
  </si>
  <si>
    <t>LINACT360</t>
  </si>
  <si>
    <t>USOSFR1Z BGN Curncy</t>
  </si>
  <si>
    <t>7D</t>
  </si>
  <si>
    <t>USOSFR2Z BGN Curncy</t>
  </si>
  <si>
    <t>14D</t>
  </si>
  <si>
    <t>USOSFR3Z BGN Curncy</t>
  </si>
  <si>
    <t>21D</t>
  </si>
  <si>
    <t>USOSFRA BGN Curncy</t>
  </si>
  <si>
    <t>1M</t>
  </si>
  <si>
    <t>USOSFRB BGN Curncy</t>
  </si>
  <si>
    <t>2M</t>
  </si>
  <si>
    <t>USOSFRC BGN Curncy</t>
  </si>
  <si>
    <t>3M</t>
  </si>
  <si>
    <t>USOSFRD BGN Curncy</t>
  </si>
  <si>
    <t>4M</t>
  </si>
  <si>
    <t>USOSFRE BGN Curncy</t>
  </si>
  <si>
    <t>5M</t>
  </si>
  <si>
    <t>USOSFRF BGN Curncy</t>
  </si>
  <si>
    <t>6M</t>
  </si>
  <si>
    <t>USOSFRG BGN Curncy</t>
  </si>
  <si>
    <t>7M</t>
  </si>
  <si>
    <t>USOSFRH BGN Curncy</t>
  </si>
  <si>
    <t>8M</t>
  </si>
  <si>
    <t>USOSFRI BGN Curncy</t>
  </si>
  <si>
    <t>9M</t>
  </si>
  <si>
    <t>USOSFRJ BGN Curncy</t>
  </si>
  <si>
    <t>10M</t>
  </si>
  <si>
    <t>USOSFRK BGN Curncy</t>
  </si>
  <si>
    <t>11M</t>
  </si>
  <si>
    <t>USOSFR1 BGN Curncy</t>
  </si>
  <si>
    <t>12M</t>
  </si>
  <si>
    <t>USOSFR1F BGN Curncy</t>
  </si>
  <si>
    <t>18M</t>
  </si>
  <si>
    <t>USOSFR2 BGN Curncy</t>
  </si>
  <si>
    <t>2Y</t>
  </si>
  <si>
    <t>USOSFR3 BGN Curncy</t>
  </si>
  <si>
    <t>3Y</t>
  </si>
  <si>
    <t>USOSFR4 BGN Curncy</t>
  </si>
  <si>
    <t>4Y</t>
  </si>
  <si>
    <t>USOSFR5 BGN Curncy</t>
  </si>
  <si>
    <t>5Y</t>
  </si>
  <si>
    <t>USOSFR6 BGN Curncy</t>
  </si>
  <si>
    <t>6Y</t>
  </si>
  <si>
    <t>USOSFR7 BGN Curncy</t>
  </si>
  <si>
    <t>7Y</t>
  </si>
  <si>
    <t>USOSFR8 BGN Curncy</t>
  </si>
  <si>
    <t>8Y</t>
  </si>
  <si>
    <t>USOSFR9 BGN Curncy</t>
  </si>
  <si>
    <t>9Y</t>
  </si>
  <si>
    <t>USOSFR10 BGN Curncy</t>
  </si>
  <si>
    <t>10Y</t>
  </si>
  <si>
    <t>USOSFR12 BGN Curncy</t>
  </si>
  <si>
    <t>12Y</t>
  </si>
  <si>
    <t>USOSFR15 BGN Curncy</t>
  </si>
  <si>
    <t>15Y</t>
  </si>
  <si>
    <t>USOSFR20 BGN Curncy</t>
  </si>
  <si>
    <t>20Y</t>
  </si>
  <si>
    <t>USOSFR25 BGN Curncy</t>
  </si>
  <si>
    <t>25Y</t>
  </si>
  <si>
    <t>USOSFR30 BGN Curncy</t>
  </si>
  <si>
    <t>30Y</t>
  </si>
  <si>
    <t>USOSFR40 BGN Curncy</t>
  </si>
  <si>
    <t>40Y</t>
  </si>
  <si>
    <t>USOSFR50 BGN Curncy</t>
  </si>
  <si>
    <t>50Y</t>
  </si>
  <si>
    <t>tipo</t>
  </si>
  <si>
    <t>TASA</t>
  </si>
  <si>
    <t>SWAP</t>
  </si>
  <si>
    <t>end_date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</si>
</sst>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yyyy/mm/dd;@"/>
  </numFmts>
  <fonts count="5" x14ac:knownFonts="1">
    <font>
      <sz val="12"/>
      <color theme="1"/>
      <name val="Helvetica"/>
      <family val="2"/>
    </font>
    <font>
      <sz val="12"/>
      <color theme="1"/>
      <name val="Helvetica"/>
      <family val="2"/>
    </font>
    <font>
      <sz val="11"/>
      <color theme="0"/>
      <name val="Segoe UI"/>
    </font>
    <font>
      <b/>
      <sz val="11"/>
      <color theme="1"/>
      <name val="Segoe UI"/>
    </font>
    <font>
      <sz val="11"/>
      <color theme="1"/>
      <name val="Segoe UI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4" fillId="3" borderId="0" xfId="0" applyFont="1" applyFill="1" applyAlignment="1">
      <alignment horizontal="center"/>
    </xf>
    <xf numFmtId="164" fontId="4" fillId="3" borderId="0" xfId="1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3" fontId="4" fillId="3" borderId="0" xfId="0" applyNumberFormat="1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164" fontId="4" fillId="3" borderId="1" xfId="1" applyNumberFormat="1" applyFont="1" applyFill="1" applyBorder="1" applyAlignment="1">
      <alignment horizontal="center"/>
    </xf>
    <xf numFmtId="165" fontId="4" fillId="3" borderId="1" xfId="0" applyNumberFormat="1" applyFont="1" applyFill="1" applyBorder="1" applyAlignment="1">
      <alignment horizontal="center"/>
    </xf>
    <xf numFmtId="3" fontId="4" fillId="3" borderId="1" xfId="0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4" fontId="4" fillId="3" borderId="2" xfId="1" applyNumberFormat="1" applyFont="1" applyFill="1" applyBorder="1" applyAlignment="1">
      <alignment horizontal="center"/>
    </xf>
    <xf numFmtId="165" fontId="4" fillId="3" borderId="2" xfId="0" applyNumberFormat="1" applyFont="1" applyFill="1" applyBorder="1" applyAlignment="1">
      <alignment horizontal="center"/>
    </xf>
    <xf numFmtId="3" fontId="4" fillId="3" borderId="2" xfId="0" applyNumberFormat="1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164" fontId="4" fillId="4" borderId="0" xfId="1" applyNumberFormat="1" applyFont="1" applyFill="1" applyAlignment="1">
      <alignment horizontal="center"/>
    </xf>
    <xf numFmtId="165" fontId="4" fillId="4" borderId="0" xfId="0" applyNumberFormat="1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4" fontId="4" fillId="5" borderId="0" xfId="1" applyNumberFormat="1" applyFont="1" applyFill="1" applyAlignment="1">
      <alignment horizontal="center"/>
    </xf>
    <xf numFmtId="165" fontId="4" fillId="5" borderId="0" xfId="0" applyNumberFormat="1" applyFont="1" applyFill="1" applyAlignment="1">
      <alignment horizontal="center"/>
    </xf>
    <xf numFmtId="3" fontId="4" fillId="5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5EB8B-F4E0-6A4C-890E-C50FBB58E126}">
  <sheetPr codeName="Sheet1"/>
  <dimension ref="A1:N34"/>
  <sheetViews>
    <sheetView tabSelected="1" workbookViewId="0">
      <selection activeCell="D2" sqref="D2"/>
    </sheetView>
  </sheetViews>
  <sheetFormatPr baseColWidth="10" defaultRowHeight="16" x14ac:dyDescent="0.2"/>
  <cols>
    <col min="1" max="1" width="17.28515625" bestFit="1" customWidth="1"/>
    <col min="9" max="9" width="11.85546875" bestFit="1" customWidth="1"/>
    <col min="10" max="10" width="11.28515625" bestFit="1" customWidth="1"/>
    <col min="12" max="12" width="14.5703125" bestFit="1" customWidth="1"/>
  </cols>
  <sheetData>
    <row r="1" spans="1:14" ht="17" x14ac:dyDescent="0.25">
      <c r="A1" s="1" t="s">
        <v>0</v>
      </c>
      <c r="B1" s="1" t="s">
        <v>1</v>
      </c>
      <c r="C1" s="1" t="s">
        <v>2</v>
      </c>
      <c r="D1" s="1" t="s">
        <v>86</v>
      </c>
      <c r="E1" s="1" t="s">
        <v>83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3" t="s">
        <v>8</v>
      </c>
      <c r="L1" s="2" t="s">
        <v>9</v>
      </c>
      <c r="M1" s="2" t="s">
        <v>10</v>
      </c>
      <c r="N1" s="2" t="s">
        <v>11</v>
      </c>
    </row>
    <row r="2" spans="1:14" ht="17" x14ac:dyDescent="0.25">
      <c r="A2" s="4" t="s">
        <v>12</v>
      </c>
      <c r="B2" s="5">
        <v>5.0000000000000001E-4</v>
      </c>
      <c r="C2" s="6">
        <v>44484</v>
      </c>
      <c r="D2" s="6">
        <v>44488</v>
      </c>
      <c r="E2" s="6" t="s">
        <v>84</v>
      </c>
      <c r="F2" s="4" t="s">
        <v>13</v>
      </c>
      <c r="G2" s="4" t="s">
        <v>14</v>
      </c>
      <c r="H2" s="4" t="s">
        <v>15</v>
      </c>
      <c r="I2" s="4">
        <v>0</v>
      </c>
      <c r="J2" s="4" t="s">
        <v>16</v>
      </c>
      <c r="K2" s="7">
        <v>1000000</v>
      </c>
      <c r="L2" s="4" t="b">
        <v>1</v>
      </c>
      <c r="M2" s="4" t="s">
        <v>17</v>
      </c>
      <c r="N2" s="4" t="s">
        <v>18</v>
      </c>
    </row>
    <row r="3" spans="1:14" ht="17" x14ac:dyDescent="0.25">
      <c r="A3" s="8" t="s">
        <v>19</v>
      </c>
      <c r="B3" s="9">
        <v>5.2099999999999998E-4</v>
      </c>
      <c r="C3" s="10">
        <v>44488</v>
      </c>
      <c r="D3" s="10">
        <v>44497</v>
      </c>
      <c r="E3" s="10" t="s">
        <v>84</v>
      </c>
      <c r="F3" s="8" t="s">
        <v>20</v>
      </c>
      <c r="G3" s="8" t="s">
        <v>14</v>
      </c>
      <c r="H3" s="8" t="s">
        <v>15</v>
      </c>
      <c r="I3" s="8">
        <v>2</v>
      </c>
      <c r="J3" s="8" t="s">
        <v>16</v>
      </c>
      <c r="K3" s="11">
        <v>1000000</v>
      </c>
      <c r="L3" s="8" t="b">
        <v>1</v>
      </c>
      <c r="M3" s="8" t="s">
        <v>17</v>
      </c>
      <c r="N3" s="8" t="s">
        <v>18</v>
      </c>
    </row>
    <row r="4" spans="1:14" ht="17" x14ac:dyDescent="0.25">
      <c r="A4" s="4" t="s">
        <v>21</v>
      </c>
      <c r="B4" s="12">
        <v>5.2400000000000005E-4</v>
      </c>
      <c r="C4" s="6">
        <v>44488</v>
      </c>
      <c r="D4" s="6">
        <v>44504</v>
      </c>
      <c r="E4" s="6" t="s">
        <v>84</v>
      </c>
      <c r="F4" s="4" t="s">
        <v>22</v>
      </c>
      <c r="G4" s="4" t="s">
        <v>14</v>
      </c>
      <c r="H4" s="4" t="s">
        <v>15</v>
      </c>
      <c r="I4" s="4">
        <v>2</v>
      </c>
      <c r="J4" s="4" t="s">
        <v>16</v>
      </c>
      <c r="K4" s="7">
        <v>1000000</v>
      </c>
      <c r="L4" s="4" t="b">
        <v>1</v>
      </c>
      <c r="M4" s="4" t="s">
        <v>17</v>
      </c>
      <c r="N4" s="4" t="s">
        <v>18</v>
      </c>
    </row>
    <row r="5" spans="1:14" ht="17" x14ac:dyDescent="0.25">
      <c r="A5" s="13" t="s">
        <v>23</v>
      </c>
      <c r="B5" s="14">
        <v>5.22E-4</v>
      </c>
      <c r="C5" s="15">
        <v>44488</v>
      </c>
      <c r="D5" s="15">
        <v>44511</v>
      </c>
      <c r="E5" s="15" t="s">
        <v>84</v>
      </c>
      <c r="F5" s="13" t="s">
        <v>24</v>
      </c>
      <c r="G5" s="13" t="s">
        <v>14</v>
      </c>
      <c r="H5" s="13" t="s">
        <v>15</v>
      </c>
      <c r="I5" s="13">
        <v>2</v>
      </c>
      <c r="J5" s="13" t="s">
        <v>16</v>
      </c>
      <c r="K5" s="16">
        <v>1000000</v>
      </c>
      <c r="L5" s="13" t="b">
        <v>1</v>
      </c>
      <c r="M5" s="13" t="s">
        <v>17</v>
      </c>
      <c r="N5" s="13" t="s">
        <v>18</v>
      </c>
    </row>
    <row r="6" spans="1:14" ht="17" x14ac:dyDescent="0.25">
      <c r="A6" s="4" t="s">
        <v>25</v>
      </c>
      <c r="B6" s="5">
        <v>5.1999999999999995E-4</v>
      </c>
      <c r="C6" s="6">
        <v>44488</v>
      </c>
      <c r="D6" s="6" cm="1">
        <f t="array" ref="D6">addmonths(C6,ten(F6))</f>
        <v>44519</v>
      </c>
      <c r="E6" s="6" t="s">
        <v>85</v>
      </c>
      <c r="F6" s="4" t="s">
        <v>26</v>
      </c>
      <c r="G6" s="4" t="s">
        <v>14</v>
      </c>
      <c r="H6" s="4" t="s">
        <v>15</v>
      </c>
      <c r="I6" s="4">
        <v>2</v>
      </c>
      <c r="J6" s="4" t="s">
        <v>16</v>
      </c>
      <c r="K6" s="7">
        <v>1000000</v>
      </c>
      <c r="L6" s="4" t="b">
        <v>1</v>
      </c>
      <c r="M6" s="4" t="s">
        <v>17</v>
      </c>
      <c r="N6" s="4" t="s">
        <v>18</v>
      </c>
    </row>
    <row r="7" spans="1:14" ht="17" x14ac:dyDescent="0.25">
      <c r="A7" s="4" t="s">
        <v>27</v>
      </c>
      <c r="B7" s="5">
        <v>5.2599999999999999E-4</v>
      </c>
      <c r="C7" s="6">
        <v>44488</v>
      </c>
      <c r="D7" s="6" cm="1">
        <f t="array" ref="D7">addmonths(C7,ten(F7))</f>
        <v>44549</v>
      </c>
      <c r="E7" s="6" t="s">
        <v>85</v>
      </c>
      <c r="F7" s="4" t="s">
        <v>28</v>
      </c>
      <c r="G7" s="4" t="s">
        <v>14</v>
      </c>
      <c r="H7" s="4" t="s">
        <v>15</v>
      </c>
      <c r="I7" s="4">
        <v>2</v>
      </c>
      <c r="J7" s="4" t="s">
        <v>16</v>
      </c>
      <c r="K7" s="7">
        <v>1000000</v>
      </c>
      <c r="L7" s="4" t="b">
        <v>1</v>
      </c>
      <c r="M7" s="4" t="s">
        <v>17</v>
      </c>
      <c r="N7" s="4" t="s">
        <v>18</v>
      </c>
    </row>
    <row r="8" spans="1:14" ht="17" x14ac:dyDescent="0.25">
      <c r="A8" s="4" t="s">
        <v>29</v>
      </c>
      <c r="B8" s="5">
        <v>5.4000000000000001E-4</v>
      </c>
      <c r="C8" s="6">
        <v>44488</v>
      </c>
      <c r="D8" s="6" cm="1">
        <f t="array" ref="D8">addmonths(C8,ten(F8))</f>
        <v>44580</v>
      </c>
      <c r="E8" s="6" t="s">
        <v>85</v>
      </c>
      <c r="F8" s="4" t="s">
        <v>30</v>
      </c>
      <c r="G8" s="4" t="s">
        <v>14</v>
      </c>
      <c r="H8" s="4" t="s">
        <v>15</v>
      </c>
      <c r="I8" s="4">
        <v>2</v>
      </c>
      <c r="J8" s="4" t="s">
        <v>16</v>
      </c>
      <c r="K8" s="7">
        <v>1000000</v>
      </c>
      <c r="L8" s="4" t="b">
        <v>1</v>
      </c>
      <c r="M8" s="4" t="s">
        <v>17</v>
      </c>
      <c r="N8" s="4" t="s">
        <v>18</v>
      </c>
    </row>
    <row r="9" spans="1:14" ht="17" x14ac:dyDescent="0.25">
      <c r="A9" s="4" t="s">
        <v>31</v>
      </c>
      <c r="B9" s="5">
        <v>5.6099999999999998E-4</v>
      </c>
      <c r="C9" s="6">
        <v>44488</v>
      </c>
      <c r="D9" s="6" cm="1">
        <f t="array" ref="D9">addmonths(C9,ten(F9))</f>
        <v>44611</v>
      </c>
      <c r="E9" s="6" t="s">
        <v>85</v>
      </c>
      <c r="F9" s="4" t="s">
        <v>32</v>
      </c>
      <c r="G9" s="4" t="s">
        <v>14</v>
      </c>
      <c r="H9" s="4" t="s">
        <v>15</v>
      </c>
      <c r="I9" s="4">
        <v>2</v>
      </c>
      <c r="J9" s="4" t="s">
        <v>16</v>
      </c>
      <c r="K9" s="7">
        <v>1000000</v>
      </c>
      <c r="L9" s="4" t="b">
        <v>1</v>
      </c>
      <c r="M9" s="4" t="s">
        <v>17</v>
      </c>
      <c r="N9" s="4" t="s">
        <v>18</v>
      </c>
    </row>
    <row r="10" spans="1:14" ht="17" x14ac:dyDescent="0.25">
      <c r="A10" s="4" t="s">
        <v>33</v>
      </c>
      <c r="B10" s="5">
        <v>5.5699999999999999E-4</v>
      </c>
      <c r="C10" s="6">
        <v>44488</v>
      </c>
      <c r="D10" s="6" cm="1">
        <f t="array" ref="D10">addmonths(C10,ten(F10))</f>
        <v>44639</v>
      </c>
      <c r="E10" s="6" t="s">
        <v>85</v>
      </c>
      <c r="F10" s="4" t="s">
        <v>34</v>
      </c>
      <c r="G10" s="4" t="s">
        <v>14</v>
      </c>
      <c r="H10" s="4" t="s">
        <v>15</v>
      </c>
      <c r="I10" s="4">
        <v>2</v>
      </c>
      <c r="J10" s="4" t="s">
        <v>16</v>
      </c>
      <c r="K10" s="7">
        <v>1000000</v>
      </c>
      <c r="L10" s="4" t="b">
        <v>1</v>
      </c>
      <c r="M10" s="4" t="s">
        <v>17</v>
      </c>
      <c r="N10" s="4" t="s">
        <v>18</v>
      </c>
    </row>
    <row r="11" spans="1:14" ht="17" x14ac:dyDescent="0.25">
      <c r="A11" s="4" t="s">
        <v>35</v>
      </c>
      <c r="B11" s="5">
        <v>6.02E-4</v>
      </c>
      <c r="C11" s="6">
        <v>44488</v>
      </c>
      <c r="D11" s="6" cm="1">
        <f t="array" ref="D11">addmonths(C11,ten(F11))</f>
        <v>44670</v>
      </c>
      <c r="E11" s="6" t="s">
        <v>85</v>
      </c>
      <c r="F11" s="4" t="s">
        <v>36</v>
      </c>
      <c r="G11" s="4" t="s">
        <v>14</v>
      </c>
      <c r="H11" s="4" t="s">
        <v>15</v>
      </c>
      <c r="I11" s="4">
        <v>2</v>
      </c>
      <c r="J11" s="4" t="s">
        <v>16</v>
      </c>
      <c r="K11" s="7">
        <v>1000000</v>
      </c>
      <c r="L11" s="4" t="b">
        <v>1</v>
      </c>
      <c r="M11" s="4" t="s">
        <v>17</v>
      </c>
      <c r="N11" s="4" t="s">
        <v>18</v>
      </c>
    </row>
    <row r="12" spans="1:14" ht="17" x14ac:dyDescent="0.25">
      <c r="A12" s="4" t="s">
        <v>37</v>
      </c>
      <c r="B12" s="5">
        <v>6.3000000000000003E-4</v>
      </c>
      <c r="C12" s="6">
        <v>44488</v>
      </c>
      <c r="D12" s="6" cm="1">
        <f t="array" ref="D12">addmonths(C12,ten(F12))</f>
        <v>44700</v>
      </c>
      <c r="E12" s="6" t="s">
        <v>85</v>
      </c>
      <c r="F12" s="4" t="s">
        <v>38</v>
      </c>
      <c r="G12" s="4" t="s">
        <v>14</v>
      </c>
      <c r="H12" s="4" t="s">
        <v>15</v>
      </c>
      <c r="I12" s="4">
        <v>2</v>
      </c>
      <c r="J12" s="4" t="s">
        <v>16</v>
      </c>
      <c r="K12" s="7">
        <v>1000000</v>
      </c>
      <c r="L12" s="4" t="b">
        <v>1</v>
      </c>
      <c r="M12" s="4" t="s">
        <v>17</v>
      </c>
      <c r="N12" s="4" t="s">
        <v>18</v>
      </c>
    </row>
    <row r="13" spans="1:14" ht="17" x14ac:dyDescent="0.25">
      <c r="A13" s="4" t="s">
        <v>39</v>
      </c>
      <c r="B13" s="5">
        <v>6.9700000000000003E-4</v>
      </c>
      <c r="C13" s="6">
        <v>44488</v>
      </c>
      <c r="D13" s="6" cm="1">
        <f t="array" ref="D13">addmonths(C13,ten(F13))</f>
        <v>44731</v>
      </c>
      <c r="E13" s="6" t="s">
        <v>85</v>
      </c>
      <c r="F13" s="4" t="s">
        <v>40</v>
      </c>
      <c r="G13" s="4" t="s">
        <v>14</v>
      </c>
      <c r="H13" s="4" t="s">
        <v>15</v>
      </c>
      <c r="I13" s="4">
        <v>2</v>
      </c>
      <c r="J13" s="4" t="s">
        <v>16</v>
      </c>
      <c r="K13" s="7">
        <v>1000000</v>
      </c>
      <c r="L13" s="4" t="b">
        <v>1</v>
      </c>
      <c r="M13" s="4" t="s">
        <v>17</v>
      </c>
      <c r="N13" s="4" t="s">
        <v>18</v>
      </c>
    </row>
    <row r="14" spans="1:14" ht="17" x14ac:dyDescent="0.25">
      <c r="A14" s="4" t="s">
        <v>41</v>
      </c>
      <c r="B14" s="5">
        <v>7.85E-4</v>
      </c>
      <c r="C14" s="6">
        <v>44488</v>
      </c>
      <c r="D14" s="6" cm="1">
        <f t="array" ref="D14">addmonths(C14,ten(F14))</f>
        <v>44761</v>
      </c>
      <c r="E14" s="6" t="s">
        <v>85</v>
      </c>
      <c r="F14" s="4" t="s">
        <v>42</v>
      </c>
      <c r="G14" s="4" t="s">
        <v>14</v>
      </c>
      <c r="H14" s="4" t="s">
        <v>15</v>
      </c>
      <c r="I14" s="4">
        <v>2</v>
      </c>
      <c r="J14" s="4" t="s">
        <v>16</v>
      </c>
      <c r="K14" s="7">
        <v>1000000</v>
      </c>
      <c r="L14" s="4" t="b">
        <v>1</v>
      </c>
      <c r="M14" s="4" t="s">
        <v>17</v>
      </c>
      <c r="N14" s="4" t="s">
        <v>18</v>
      </c>
    </row>
    <row r="15" spans="1:14" ht="17" x14ac:dyDescent="0.25">
      <c r="A15" s="4" t="s">
        <v>43</v>
      </c>
      <c r="B15" s="5">
        <v>9.0499999999999999E-4</v>
      </c>
      <c r="C15" s="6">
        <v>44488</v>
      </c>
      <c r="D15" s="6" cm="1">
        <f t="array" ref="D15">addmonths(C15,ten(F15))</f>
        <v>44792</v>
      </c>
      <c r="E15" s="6" t="s">
        <v>85</v>
      </c>
      <c r="F15" s="4" t="s">
        <v>44</v>
      </c>
      <c r="G15" s="4" t="s">
        <v>14</v>
      </c>
      <c r="H15" s="4" t="s">
        <v>15</v>
      </c>
      <c r="I15" s="4">
        <v>2</v>
      </c>
      <c r="J15" s="4" t="s">
        <v>16</v>
      </c>
      <c r="K15" s="7">
        <v>1000000</v>
      </c>
      <c r="L15" s="4" t="b">
        <v>1</v>
      </c>
      <c r="M15" s="4" t="s">
        <v>17</v>
      </c>
      <c r="N15" s="4" t="s">
        <v>18</v>
      </c>
    </row>
    <row r="16" spans="1:14" ht="17" x14ac:dyDescent="0.25">
      <c r="A16" s="4" t="s">
        <v>45</v>
      </c>
      <c r="B16" s="5">
        <v>1.0140000000000001E-3</v>
      </c>
      <c r="C16" s="6">
        <v>44488</v>
      </c>
      <c r="D16" s="6" cm="1">
        <f t="array" ref="D16">addmonths(C16,ten(F16))</f>
        <v>44823</v>
      </c>
      <c r="E16" s="6" t="s">
        <v>85</v>
      </c>
      <c r="F16" s="4" t="s">
        <v>46</v>
      </c>
      <c r="G16" s="4" t="s">
        <v>14</v>
      </c>
      <c r="H16" s="4" t="s">
        <v>15</v>
      </c>
      <c r="I16" s="4">
        <v>2</v>
      </c>
      <c r="J16" s="4" t="s">
        <v>16</v>
      </c>
      <c r="K16" s="7">
        <v>1000000</v>
      </c>
      <c r="L16" s="4" t="b">
        <v>1</v>
      </c>
      <c r="M16" s="4" t="s">
        <v>17</v>
      </c>
      <c r="N16" s="4" t="s">
        <v>18</v>
      </c>
    </row>
    <row r="17" spans="1:14" ht="17" x14ac:dyDescent="0.25">
      <c r="A17" s="4" t="s">
        <v>47</v>
      </c>
      <c r="B17" s="5">
        <v>1.152E-3</v>
      </c>
      <c r="C17" s="6">
        <v>44488</v>
      </c>
      <c r="D17" s="6" cm="1">
        <f t="array" ref="D17">addmonths(C17,ten(F17))</f>
        <v>44853</v>
      </c>
      <c r="E17" s="6" t="s">
        <v>85</v>
      </c>
      <c r="F17" s="4" t="s">
        <v>48</v>
      </c>
      <c r="G17" s="4" t="s">
        <v>14</v>
      </c>
      <c r="H17" s="4" t="s">
        <v>15</v>
      </c>
      <c r="I17" s="4">
        <v>2</v>
      </c>
      <c r="J17" s="4" t="s">
        <v>16</v>
      </c>
      <c r="K17" s="7">
        <v>1000000</v>
      </c>
      <c r="L17" s="4" t="b">
        <v>1</v>
      </c>
      <c r="M17" s="4" t="s">
        <v>17</v>
      </c>
      <c r="N17" s="4" t="s">
        <v>18</v>
      </c>
    </row>
    <row r="18" spans="1:14" ht="17" x14ac:dyDescent="0.25">
      <c r="A18" s="17" t="s">
        <v>49</v>
      </c>
      <c r="B18" s="18">
        <v>2.3370000000000001E-3</v>
      </c>
      <c r="C18" s="19">
        <v>44488</v>
      </c>
      <c r="D18" s="19" cm="1">
        <f t="array" ref="D18">addmonths(C18,ten(F18))</f>
        <v>45035</v>
      </c>
      <c r="E18" s="19" t="s">
        <v>85</v>
      </c>
      <c r="F18" s="17" t="s">
        <v>50</v>
      </c>
      <c r="G18" s="17" t="s">
        <v>14</v>
      </c>
      <c r="H18" s="17" t="s">
        <v>15</v>
      </c>
      <c r="I18" s="17">
        <v>2</v>
      </c>
      <c r="J18" s="17" t="s">
        <v>16</v>
      </c>
      <c r="K18" s="20">
        <v>1000000</v>
      </c>
      <c r="L18" s="17" t="b">
        <v>1</v>
      </c>
      <c r="M18" s="17" t="s">
        <v>17</v>
      </c>
      <c r="N18" s="17" t="s">
        <v>18</v>
      </c>
    </row>
    <row r="19" spans="1:14" ht="17" x14ac:dyDescent="0.25">
      <c r="A19" s="21" t="s">
        <v>51</v>
      </c>
      <c r="B19" s="22">
        <v>3.8010000000000001E-3</v>
      </c>
      <c r="C19" s="23">
        <v>44488</v>
      </c>
      <c r="D19" s="23" cm="1">
        <f t="array" ref="D19">addmonths(C19,ten(F19))</f>
        <v>45218</v>
      </c>
      <c r="E19" s="23" t="s">
        <v>85</v>
      </c>
      <c r="F19" s="21" t="s">
        <v>52</v>
      </c>
      <c r="G19" s="21" t="s">
        <v>14</v>
      </c>
      <c r="H19" s="21" t="s">
        <v>15</v>
      </c>
      <c r="I19" s="21">
        <v>2</v>
      </c>
      <c r="J19" s="21" t="s">
        <v>16</v>
      </c>
      <c r="K19" s="24">
        <v>1000000</v>
      </c>
      <c r="L19" s="21" t="b">
        <v>1</v>
      </c>
      <c r="M19" s="21" t="s">
        <v>17</v>
      </c>
      <c r="N19" s="21" t="s">
        <v>18</v>
      </c>
    </row>
    <row r="20" spans="1:14" ht="17" x14ac:dyDescent="0.25">
      <c r="A20" s="21" t="s">
        <v>53</v>
      </c>
      <c r="B20" s="22">
        <v>6.3470000000000002E-3</v>
      </c>
      <c r="C20" s="23">
        <v>44488</v>
      </c>
      <c r="D20" s="23" cm="1">
        <f t="array" ref="D20">addmonths(C20,ten(F20))</f>
        <v>45584</v>
      </c>
      <c r="E20" s="23" t="s">
        <v>85</v>
      </c>
      <c r="F20" s="21" t="s">
        <v>54</v>
      </c>
      <c r="G20" s="21" t="s">
        <v>14</v>
      </c>
      <c r="H20" s="21" t="s">
        <v>15</v>
      </c>
      <c r="I20" s="21">
        <v>2</v>
      </c>
      <c r="J20" s="21" t="s">
        <v>16</v>
      </c>
      <c r="K20" s="24">
        <v>1000000</v>
      </c>
      <c r="L20" s="21" t="b">
        <v>1</v>
      </c>
      <c r="M20" s="21" t="s">
        <v>17</v>
      </c>
      <c r="N20" s="21" t="s">
        <v>18</v>
      </c>
    </row>
    <row r="21" spans="1:14" ht="17" x14ac:dyDescent="0.25">
      <c r="A21" s="21" t="s">
        <v>55</v>
      </c>
      <c r="B21" s="22">
        <v>8.1740000000000007E-3</v>
      </c>
      <c r="C21" s="23">
        <v>44488</v>
      </c>
      <c r="D21" s="23" cm="1">
        <f t="array" ref="D21">addmonths(C21,ten(F21))</f>
        <v>45949</v>
      </c>
      <c r="E21" s="23" t="s">
        <v>85</v>
      </c>
      <c r="F21" s="21" t="s">
        <v>56</v>
      </c>
      <c r="G21" s="21" t="s">
        <v>14</v>
      </c>
      <c r="H21" s="21" t="s">
        <v>15</v>
      </c>
      <c r="I21" s="21">
        <v>2</v>
      </c>
      <c r="J21" s="21" t="s">
        <v>16</v>
      </c>
      <c r="K21" s="24">
        <v>1000000</v>
      </c>
      <c r="L21" s="21" t="b">
        <v>1</v>
      </c>
      <c r="M21" s="21" t="s">
        <v>17</v>
      </c>
      <c r="N21" s="21" t="s">
        <v>18</v>
      </c>
    </row>
    <row r="22" spans="1:14" ht="17" x14ac:dyDescent="0.25">
      <c r="A22" s="21" t="s">
        <v>57</v>
      </c>
      <c r="B22" s="22">
        <v>9.5099999999999994E-3</v>
      </c>
      <c r="C22" s="23">
        <v>44488</v>
      </c>
      <c r="D22" s="23" cm="1">
        <f t="array" ref="D22">addmonths(C22,ten(F22))</f>
        <v>46314</v>
      </c>
      <c r="E22" s="23" t="s">
        <v>85</v>
      </c>
      <c r="F22" s="21" t="s">
        <v>58</v>
      </c>
      <c r="G22" s="21" t="s">
        <v>14</v>
      </c>
      <c r="H22" s="21" t="s">
        <v>15</v>
      </c>
      <c r="I22" s="21">
        <v>2</v>
      </c>
      <c r="J22" s="21" t="s">
        <v>16</v>
      </c>
      <c r="K22" s="24">
        <v>1000000</v>
      </c>
      <c r="L22" s="21" t="b">
        <v>1</v>
      </c>
      <c r="M22" s="21" t="s">
        <v>17</v>
      </c>
      <c r="N22" s="21" t="s">
        <v>18</v>
      </c>
    </row>
    <row r="23" spans="1:14" ht="17" x14ac:dyDescent="0.25">
      <c r="A23" s="21" t="s">
        <v>59</v>
      </c>
      <c r="B23" s="22">
        <v>1.061E-2</v>
      </c>
      <c r="C23" s="23">
        <v>44488</v>
      </c>
      <c r="D23" s="23" cm="1">
        <f t="array" ref="D23">addmonths(C23,ten(F23))</f>
        <v>46679</v>
      </c>
      <c r="E23" s="23" t="s">
        <v>85</v>
      </c>
      <c r="F23" s="21" t="s">
        <v>60</v>
      </c>
      <c r="G23" s="21" t="s">
        <v>14</v>
      </c>
      <c r="H23" s="21" t="s">
        <v>15</v>
      </c>
      <c r="I23" s="21">
        <v>2</v>
      </c>
      <c r="J23" s="21" t="s">
        <v>16</v>
      </c>
      <c r="K23" s="24">
        <v>1000000</v>
      </c>
      <c r="L23" s="21" t="b">
        <v>1</v>
      </c>
      <c r="M23" s="21" t="s">
        <v>17</v>
      </c>
      <c r="N23" s="21" t="s">
        <v>18</v>
      </c>
    </row>
    <row r="24" spans="1:14" ht="17" x14ac:dyDescent="0.25">
      <c r="A24" s="21" t="s">
        <v>61</v>
      </c>
      <c r="B24" s="22">
        <v>1.1497E-2</v>
      </c>
      <c r="C24" s="23">
        <v>44488</v>
      </c>
      <c r="D24" s="23" cm="1">
        <f t="array" ref="D24">addmonths(C24,ten(F24))</f>
        <v>47045</v>
      </c>
      <c r="E24" s="23" t="s">
        <v>85</v>
      </c>
      <c r="F24" s="21" t="s">
        <v>62</v>
      </c>
      <c r="G24" s="21" t="s">
        <v>14</v>
      </c>
      <c r="H24" s="21" t="s">
        <v>15</v>
      </c>
      <c r="I24" s="21">
        <v>2</v>
      </c>
      <c r="J24" s="21" t="s">
        <v>16</v>
      </c>
      <c r="K24" s="24">
        <v>1000000</v>
      </c>
      <c r="L24" s="21" t="b">
        <v>1</v>
      </c>
      <c r="M24" s="21" t="s">
        <v>17</v>
      </c>
      <c r="N24" s="21" t="s">
        <v>18</v>
      </c>
    </row>
    <row r="25" spans="1:14" ht="17" x14ac:dyDescent="0.25">
      <c r="A25" s="21" t="s">
        <v>63</v>
      </c>
      <c r="B25" s="22">
        <v>1.2198000000000001E-2</v>
      </c>
      <c r="C25" s="23">
        <v>44488</v>
      </c>
      <c r="D25" s="23" cm="1">
        <f t="array" ref="D25">addmonths(C25,ten(F25))</f>
        <v>47410</v>
      </c>
      <c r="E25" s="23" t="s">
        <v>85</v>
      </c>
      <c r="F25" s="21" t="s">
        <v>64</v>
      </c>
      <c r="G25" s="21" t="s">
        <v>14</v>
      </c>
      <c r="H25" s="21" t="s">
        <v>15</v>
      </c>
      <c r="I25" s="21">
        <v>2</v>
      </c>
      <c r="J25" s="21" t="s">
        <v>16</v>
      </c>
      <c r="K25" s="24">
        <v>1000000</v>
      </c>
      <c r="L25" s="21" t="b">
        <v>1</v>
      </c>
      <c r="M25" s="21" t="s">
        <v>17</v>
      </c>
      <c r="N25" s="21" t="s">
        <v>18</v>
      </c>
    </row>
    <row r="26" spans="1:14" ht="17" x14ac:dyDescent="0.25">
      <c r="A26" s="21" t="s">
        <v>65</v>
      </c>
      <c r="B26" s="22">
        <v>1.2763999999999999E-2</v>
      </c>
      <c r="C26" s="23">
        <v>44488</v>
      </c>
      <c r="D26" s="23" cm="1">
        <f t="array" ref="D26">addmonths(C26,ten(F26))</f>
        <v>47775</v>
      </c>
      <c r="E26" s="23" t="s">
        <v>85</v>
      </c>
      <c r="F26" s="21" t="s">
        <v>66</v>
      </c>
      <c r="G26" s="21" t="s">
        <v>14</v>
      </c>
      <c r="H26" s="21" t="s">
        <v>15</v>
      </c>
      <c r="I26" s="21">
        <v>2</v>
      </c>
      <c r="J26" s="21" t="s">
        <v>16</v>
      </c>
      <c r="K26" s="24">
        <v>1000000</v>
      </c>
      <c r="L26" s="21" t="b">
        <v>1</v>
      </c>
      <c r="M26" s="21" t="s">
        <v>17</v>
      </c>
      <c r="N26" s="21" t="s">
        <v>18</v>
      </c>
    </row>
    <row r="27" spans="1:14" ht="17" x14ac:dyDescent="0.25">
      <c r="A27" s="21" t="s">
        <v>67</v>
      </c>
      <c r="B27" s="22">
        <v>1.3258000000000001E-2</v>
      </c>
      <c r="C27" s="23">
        <v>44488</v>
      </c>
      <c r="D27" s="23" cm="1">
        <f t="array" ref="D27">addmonths(C27,ten(F27))</f>
        <v>48140</v>
      </c>
      <c r="E27" s="23" t="s">
        <v>85</v>
      </c>
      <c r="F27" s="21" t="s">
        <v>68</v>
      </c>
      <c r="G27" s="21" t="s">
        <v>14</v>
      </c>
      <c r="H27" s="21" t="s">
        <v>15</v>
      </c>
      <c r="I27" s="21">
        <v>2</v>
      </c>
      <c r="J27" s="21" t="s">
        <v>16</v>
      </c>
      <c r="K27" s="24">
        <v>1000000</v>
      </c>
      <c r="L27" s="21" t="b">
        <v>1</v>
      </c>
      <c r="M27" s="21" t="s">
        <v>17</v>
      </c>
      <c r="N27" s="21" t="s">
        <v>18</v>
      </c>
    </row>
    <row r="28" spans="1:14" ht="17" x14ac:dyDescent="0.25">
      <c r="A28" s="21" t="s">
        <v>69</v>
      </c>
      <c r="B28" s="22">
        <v>1.4018999999999998E-2</v>
      </c>
      <c r="C28" s="23">
        <v>44488</v>
      </c>
      <c r="D28" s="23" cm="1">
        <f t="array" ref="D28">addmonths(C28,ten(F28))</f>
        <v>48871</v>
      </c>
      <c r="E28" s="23" t="s">
        <v>85</v>
      </c>
      <c r="F28" s="21" t="s">
        <v>70</v>
      </c>
      <c r="G28" s="21" t="s">
        <v>14</v>
      </c>
      <c r="H28" s="21" t="s">
        <v>15</v>
      </c>
      <c r="I28" s="21">
        <v>2</v>
      </c>
      <c r="J28" s="21" t="s">
        <v>16</v>
      </c>
      <c r="K28" s="24">
        <v>1000000</v>
      </c>
      <c r="L28" s="21" t="b">
        <v>1</v>
      </c>
      <c r="M28" s="21" t="s">
        <v>17</v>
      </c>
      <c r="N28" s="21" t="s">
        <v>18</v>
      </c>
    </row>
    <row r="29" spans="1:14" ht="17" x14ac:dyDescent="0.25">
      <c r="A29" s="21" t="s">
        <v>71</v>
      </c>
      <c r="B29" s="22">
        <v>1.4769000000000001E-2</v>
      </c>
      <c r="C29" s="23">
        <v>44488</v>
      </c>
      <c r="D29" s="23" cm="1">
        <f t="array" ref="D29">addmonths(C29,ten(F29))</f>
        <v>49967</v>
      </c>
      <c r="E29" s="23" t="s">
        <v>85</v>
      </c>
      <c r="F29" s="21" t="s">
        <v>72</v>
      </c>
      <c r="G29" s="21" t="s">
        <v>14</v>
      </c>
      <c r="H29" s="21" t="s">
        <v>15</v>
      </c>
      <c r="I29" s="21">
        <v>2</v>
      </c>
      <c r="J29" s="21" t="s">
        <v>16</v>
      </c>
      <c r="K29" s="24">
        <v>1000000</v>
      </c>
      <c r="L29" s="21" t="b">
        <v>1</v>
      </c>
      <c r="M29" s="21" t="s">
        <v>17</v>
      </c>
      <c r="N29" s="21" t="s">
        <v>18</v>
      </c>
    </row>
    <row r="30" spans="1:14" ht="17" x14ac:dyDescent="0.25">
      <c r="A30" s="21" t="s">
        <v>73</v>
      </c>
      <c r="B30" s="22">
        <v>1.5422999999999999E-2</v>
      </c>
      <c r="C30" s="23">
        <v>44488</v>
      </c>
      <c r="D30" s="23" cm="1">
        <f t="array" ref="D30">addmonths(C30,ten(F30))</f>
        <v>51793</v>
      </c>
      <c r="E30" s="23" t="s">
        <v>85</v>
      </c>
      <c r="F30" s="21" t="s">
        <v>74</v>
      </c>
      <c r="G30" s="21" t="s">
        <v>14</v>
      </c>
      <c r="H30" s="21" t="s">
        <v>15</v>
      </c>
      <c r="I30" s="21">
        <v>2</v>
      </c>
      <c r="J30" s="21" t="s">
        <v>16</v>
      </c>
      <c r="K30" s="24">
        <v>1000000</v>
      </c>
      <c r="L30" s="21" t="b">
        <v>1</v>
      </c>
      <c r="M30" s="21" t="s">
        <v>17</v>
      </c>
      <c r="N30" s="21" t="s">
        <v>18</v>
      </c>
    </row>
    <row r="31" spans="1:14" ht="17" x14ac:dyDescent="0.25">
      <c r="A31" s="21" t="s">
        <v>75</v>
      </c>
      <c r="B31" s="22">
        <v>1.5545999999999999E-2</v>
      </c>
      <c r="C31" s="23">
        <v>44488</v>
      </c>
      <c r="D31" s="23" cm="1">
        <f t="array" ref="D31">addmonths(C31,ten(F31))</f>
        <v>53619</v>
      </c>
      <c r="E31" s="23" t="s">
        <v>85</v>
      </c>
      <c r="F31" s="21" t="s">
        <v>76</v>
      </c>
      <c r="G31" s="21" t="s">
        <v>14</v>
      </c>
      <c r="H31" s="21" t="s">
        <v>15</v>
      </c>
      <c r="I31" s="21">
        <v>2</v>
      </c>
      <c r="J31" s="21" t="s">
        <v>16</v>
      </c>
      <c r="K31" s="24">
        <v>1000000</v>
      </c>
      <c r="L31" s="21" t="b">
        <v>1</v>
      </c>
      <c r="M31" s="21" t="s">
        <v>17</v>
      </c>
      <c r="N31" s="21" t="s">
        <v>18</v>
      </c>
    </row>
    <row r="32" spans="1:14" ht="17" x14ac:dyDescent="0.25">
      <c r="A32" s="21" t="s">
        <v>77</v>
      </c>
      <c r="B32" s="22">
        <v>1.5482000000000001E-2</v>
      </c>
      <c r="C32" s="23">
        <v>44488</v>
      </c>
      <c r="D32" s="23" cm="1">
        <f t="array" ref="D32">addmonths(C32,ten(F32))</f>
        <v>55445</v>
      </c>
      <c r="E32" s="23" t="s">
        <v>85</v>
      </c>
      <c r="F32" s="21" t="s">
        <v>78</v>
      </c>
      <c r="G32" s="21" t="s">
        <v>14</v>
      </c>
      <c r="H32" s="21" t="s">
        <v>15</v>
      </c>
      <c r="I32" s="21">
        <v>2</v>
      </c>
      <c r="J32" s="21" t="s">
        <v>16</v>
      </c>
      <c r="K32" s="24">
        <v>1000000</v>
      </c>
      <c r="L32" s="21" t="b">
        <v>1</v>
      </c>
      <c r="M32" s="21" t="s">
        <v>17</v>
      </c>
      <c r="N32" s="21" t="s">
        <v>18</v>
      </c>
    </row>
    <row r="33" spans="1:14" ht="17" x14ac:dyDescent="0.25">
      <c r="A33" s="21" t="s">
        <v>79</v>
      </c>
      <c r="B33" s="22">
        <v>1.4815E-2</v>
      </c>
      <c r="C33" s="23">
        <v>44488</v>
      </c>
      <c r="D33" s="23" cm="1">
        <f t="array" ref="D33">addmonths(C33,ten(F33))</f>
        <v>59098</v>
      </c>
      <c r="E33" s="23" t="s">
        <v>85</v>
      </c>
      <c r="F33" s="21" t="s">
        <v>80</v>
      </c>
      <c r="G33" s="21" t="s">
        <v>14</v>
      </c>
      <c r="H33" s="21" t="s">
        <v>15</v>
      </c>
      <c r="I33" s="21">
        <v>2</v>
      </c>
      <c r="J33" s="21" t="s">
        <v>16</v>
      </c>
      <c r="K33" s="24">
        <v>1000000</v>
      </c>
      <c r="L33" s="21" t="b">
        <v>1</v>
      </c>
      <c r="M33" s="21" t="s">
        <v>17</v>
      </c>
      <c r="N33" s="21" t="s">
        <v>18</v>
      </c>
    </row>
    <row r="34" spans="1:14" ht="17" x14ac:dyDescent="0.25">
      <c r="A34" s="21" t="s">
        <v>81</v>
      </c>
      <c r="B34" s="22">
        <v>1.3908E-2</v>
      </c>
      <c r="C34" s="23">
        <v>44488</v>
      </c>
      <c r="D34" s="23" cm="1">
        <f t="array" ref="D34">addmonths(C34,ten(F34))</f>
        <v>62750</v>
      </c>
      <c r="E34" s="23" t="s">
        <v>85</v>
      </c>
      <c r="F34" s="21" t="s">
        <v>82</v>
      </c>
      <c r="G34" s="21" t="s">
        <v>14</v>
      </c>
      <c r="H34" s="21" t="s">
        <v>15</v>
      </c>
      <c r="I34" s="21">
        <v>2</v>
      </c>
      <c r="J34" s="21" t="s">
        <v>16</v>
      </c>
      <c r="K34" s="24">
        <v>1000000</v>
      </c>
      <c r="L34" s="21" t="b">
        <v>1</v>
      </c>
      <c r="M34" s="21" t="s">
        <v>17</v>
      </c>
      <c r="N34" s="2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Diaz</dc:creator>
  <cp:lastModifiedBy>Alvaro Diaz</cp:lastModifiedBy>
  <dcterms:created xsi:type="dcterms:W3CDTF">2021-10-20T18:05:30Z</dcterms:created>
  <dcterms:modified xsi:type="dcterms:W3CDTF">2021-10-20T18:57:28Z</dcterms:modified>
</cp:coreProperties>
</file>